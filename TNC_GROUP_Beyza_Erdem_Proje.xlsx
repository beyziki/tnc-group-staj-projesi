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nster\Downloads\"/>
    </mc:Choice>
  </mc:AlternateContent>
  <xr:revisionPtr revIDLastSave="0" documentId="13_ncr:1_{451F9D55-EC47-4E45-A7F4-7FE8A5A97CDF}" xr6:coauthVersionLast="47" xr6:coauthVersionMax="47" xr10:uidLastSave="{00000000-0000-0000-0000-000000000000}"/>
  <bookViews>
    <workbookView xWindow="-108" yWindow="-108" windowWidth="23256" windowHeight="12456" tabRatio="500" firstSheet="4" activeTab="7" xr2:uid="{00000000-000D-0000-FFFF-FFFF00000000}"/>
  </bookViews>
  <sheets>
    <sheet name="📊 Özet Pano" sheetId="1" r:id="rId1"/>
    <sheet name="🗂️ Ana Veri" sheetId="2" r:id="rId2"/>
    <sheet name="✏️ Metin Düzenleme" sheetId="3" r:id="rId3"/>
    <sheet name="🔢 Rutin Hesaplamalar" sheetId="4" r:id="rId4"/>
    <sheet name="🔍 Vlookup" sheetId="5" r:id="rId5"/>
    <sheet name="📐 Formüller" sheetId="6" r:id="rId6"/>
    <sheet name="📋 Tablo Veri Düzenleme" sheetId="7" r:id="rId7"/>
    <sheet name="📈 Grafikler &amp; Pivo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" i="1" l="1"/>
  <c r="K3" i="6"/>
  <c r="K5" i="6"/>
  <c r="C23" i="6"/>
  <c r="B24" i="8"/>
  <c r="G6" i="4"/>
  <c r="E5" i="4"/>
  <c r="F5" i="4" s="1"/>
  <c r="E6" i="4"/>
  <c r="E7" i="4"/>
  <c r="E8" i="4"/>
  <c r="F6" i="4"/>
  <c r="F7" i="4"/>
  <c r="F8" i="4"/>
  <c r="F4" i="4"/>
  <c r="E4" i="4"/>
  <c r="E4" i="3"/>
  <c r="L3" i="7"/>
  <c r="J4" i="7"/>
  <c r="J5" i="7"/>
  <c r="J6" i="7"/>
  <c r="J7" i="7"/>
  <c r="J8" i="7"/>
  <c r="J9" i="7"/>
  <c r="J3" i="7"/>
  <c r="M3" i="7"/>
  <c r="M4" i="7"/>
  <c r="L4" i="7"/>
  <c r="H3" i="7"/>
  <c r="D3" i="7"/>
  <c r="H4" i="7"/>
  <c r="D4" i="7"/>
  <c r="D6" i="7"/>
  <c r="D5" i="7"/>
  <c r="L3" i="6"/>
  <c r="E11" i="8"/>
  <c r="D11" i="8"/>
  <c r="C11" i="8"/>
  <c r="B11" i="8"/>
  <c r="F10" i="8"/>
  <c r="F9" i="8"/>
  <c r="F8" i="8"/>
  <c r="F7" i="8"/>
  <c r="F6" i="8"/>
  <c r="F5" i="8"/>
  <c r="F4" i="8"/>
  <c r="F11" i="8" s="1"/>
  <c r="L9" i="7"/>
  <c r="M9" i="7" s="1"/>
  <c r="H9" i="7"/>
  <c r="D9" i="7"/>
  <c r="L8" i="7"/>
  <c r="M8" i="7" s="1"/>
  <c r="H8" i="7"/>
  <c r="D8" i="7"/>
  <c r="L7" i="7"/>
  <c r="M7" i="7" s="1"/>
  <c r="H7" i="7"/>
  <c r="D7" i="7"/>
  <c r="L6" i="7"/>
  <c r="M6" i="7" s="1"/>
  <c r="H6" i="7"/>
  <c r="L5" i="7"/>
  <c r="M5" i="7" s="1"/>
  <c r="H5" i="7"/>
  <c r="C30" i="6"/>
  <c r="C29" i="6"/>
  <c r="C28" i="6"/>
  <c r="C27" i="6"/>
  <c r="C26" i="6"/>
  <c r="C25" i="6"/>
  <c r="C24" i="6"/>
  <c r="C22" i="6"/>
  <c r="N17" i="6"/>
  <c r="M17" i="6"/>
  <c r="L17" i="6"/>
  <c r="K17" i="6"/>
  <c r="N16" i="6"/>
  <c r="M16" i="6"/>
  <c r="L16" i="6"/>
  <c r="K16" i="6"/>
  <c r="N15" i="6"/>
  <c r="M15" i="6"/>
  <c r="L15" i="6"/>
  <c r="K15" i="6"/>
  <c r="N14" i="6"/>
  <c r="M14" i="6"/>
  <c r="L14" i="6"/>
  <c r="K14" i="6"/>
  <c r="N13" i="6"/>
  <c r="M13" i="6"/>
  <c r="L13" i="6"/>
  <c r="K13" i="6"/>
  <c r="N12" i="6"/>
  <c r="M12" i="6"/>
  <c r="L12" i="6"/>
  <c r="K12" i="6"/>
  <c r="N11" i="6"/>
  <c r="M11" i="6"/>
  <c r="L11" i="6"/>
  <c r="K11" i="6"/>
  <c r="N10" i="6"/>
  <c r="M10" i="6"/>
  <c r="L10" i="6"/>
  <c r="K10" i="6"/>
  <c r="N9" i="6"/>
  <c r="M9" i="6"/>
  <c r="L9" i="6"/>
  <c r="K9" i="6"/>
  <c r="N8" i="6"/>
  <c r="M8" i="6"/>
  <c r="L8" i="6"/>
  <c r="K8" i="6"/>
  <c r="N7" i="6"/>
  <c r="M7" i="6"/>
  <c r="L7" i="6"/>
  <c r="K7" i="6"/>
  <c r="N6" i="6"/>
  <c r="M6" i="6"/>
  <c r="L6" i="6"/>
  <c r="K6" i="6"/>
  <c r="N5" i="6"/>
  <c r="M5" i="6"/>
  <c r="L5" i="6"/>
  <c r="N4" i="6"/>
  <c r="M4" i="6"/>
  <c r="L4" i="6"/>
  <c r="K4" i="6"/>
  <c r="N3" i="6"/>
  <c r="M3" i="6"/>
  <c r="L14" i="5"/>
  <c r="K14" i="5"/>
  <c r="J14" i="5"/>
  <c r="I14" i="5"/>
  <c r="L13" i="5"/>
  <c r="K13" i="5"/>
  <c r="J13" i="5"/>
  <c r="I13" i="5"/>
  <c r="L12" i="5"/>
  <c r="K12" i="5"/>
  <c r="J12" i="5"/>
  <c r="I12" i="5"/>
  <c r="L11" i="5"/>
  <c r="K11" i="5"/>
  <c r="J11" i="5"/>
  <c r="I11" i="5"/>
  <c r="L10" i="5"/>
  <c r="K10" i="5"/>
  <c r="J10" i="5"/>
  <c r="I10" i="5"/>
  <c r="L9" i="5"/>
  <c r="K9" i="5"/>
  <c r="J9" i="5"/>
  <c r="I9" i="5"/>
  <c r="L8" i="5"/>
  <c r="K8" i="5"/>
  <c r="J8" i="5"/>
  <c r="I8" i="5"/>
  <c r="L7" i="5"/>
  <c r="K7" i="5"/>
  <c r="J7" i="5"/>
  <c r="I7" i="5"/>
  <c r="L6" i="5"/>
  <c r="K6" i="5"/>
  <c r="J6" i="5"/>
  <c r="I6" i="5"/>
  <c r="L5" i="5"/>
  <c r="K5" i="5"/>
  <c r="J5" i="5"/>
  <c r="I5" i="5"/>
  <c r="L4" i="5"/>
  <c r="K4" i="5"/>
  <c r="J4" i="5"/>
  <c r="I4" i="5"/>
  <c r="E24" i="4"/>
  <c r="D24" i="4"/>
  <c r="D23" i="4"/>
  <c r="E23" i="4" s="1"/>
  <c r="E22" i="4"/>
  <c r="D22" i="4"/>
  <c r="E21" i="4"/>
  <c r="D21" i="4"/>
  <c r="E20" i="4"/>
  <c r="D20" i="4"/>
  <c r="D16" i="4"/>
  <c r="E16" i="4" s="1"/>
  <c r="E15" i="4"/>
  <c r="D15" i="4"/>
  <c r="D14" i="4"/>
  <c r="E14" i="4" s="1"/>
  <c r="E13" i="4"/>
  <c r="D13" i="4"/>
  <c r="E12" i="4"/>
  <c r="D12" i="4"/>
  <c r="G8" i="4"/>
  <c r="G7" i="4"/>
  <c r="G5" i="4"/>
  <c r="G4" i="4"/>
  <c r="D9" i="3"/>
  <c r="C9" i="3"/>
  <c r="E9" i="3" s="1"/>
  <c r="E8" i="3"/>
  <c r="D8" i="3"/>
  <c r="C8" i="3"/>
  <c r="D7" i="3"/>
  <c r="C7" i="3"/>
  <c r="E7" i="3" s="1"/>
  <c r="D6" i="3"/>
  <c r="C6" i="3"/>
  <c r="E6" i="3" s="1"/>
  <c r="D5" i="3"/>
  <c r="E5" i="3" s="1"/>
  <c r="C5" i="3"/>
  <c r="D4" i="3"/>
  <c r="C4" i="3"/>
  <c r="H5" i="1"/>
  <c r="D5" i="1"/>
  <c r="A5" i="1"/>
</calcChain>
</file>

<file path=xl/sharedStrings.xml><?xml version="1.0" encoding="utf-8"?>
<sst xmlns="http://schemas.openxmlformats.org/spreadsheetml/2006/main" count="492" uniqueCount="211">
  <si>
    <t>TNC GROUP – İK VERİ ANALİZ PANELİ</t>
  </si>
  <si>
    <t xml:space="preserve">  📌  TEMEL GÖSTERGELER</t>
  </si>
  <si>
    <t>👥 Toplam Çalışan</t>
  </si>
  <si>
    <t>💰 Ort. Maaş</t>
  </si>
  <si>
    <t>📈 En Yüksek Satış</t>
  </si>
  <si>
    <t>✅ Sınav Geçme %</t>
  </si>
  <si>
    <t xml:space="preserve">  📊  BÖLÜME GÖRE ÇALIŞAN DAĞILIMI</t>
  </si>
  <si>
    <t>Bölüm</t>
  </si>
  <si>
    <t>Çalışan Sayısı</t>
  </si>
  <si>
    <t>Toplam Satış (₺)</t>
  </si>
  <si>
    <t>Ort. Sınav</t>
  </si>
  <si>
    <t>Akdeniz</t>
  </si>
  <si>
    <t>Marmara</t>
  </si>
  <si>
    <t>İç Anadolu</t>
  </si>
  <si>
    <t>Ege</t>
  </si>
  <si>
    <t>Karadeniz</t>
  </si>
  <si>
    <t>Güneydoğu Anadolu</t>
  </si>
  <si>
    <t>Doğu Anadolu</t>
  </si>
  <si>
    <t>Ad Soyad</t>
  </si>
  <si>
    <t>Doğum Yılı</t>
  </si>
  <si>
    <t>Ünvanı</t>
  </si>
  <si>
    <t>Grade</t>
  </si>
  <si>
    <t>Cinsiyeti</t>
  </si>
  <si>
    <t>Yaşadığı Şehir</t>
  </si>
  <si>
    <t>Kıdem (Yıl)</t>
  </si>
  <si>
    <t>Bölümü</t>
  </si>
  <si>
    <t>Bölge</t>
  </si>
  <si>
    <t>Telefon Numarası</t>
  </si>
  <si>
    <t>Maaş (₺)</t>
  </si>
  <si>
    <t>Satış Miktarı</t>
  </si>
  <si>
    <t>Satış Tutarı (₺)</t>
  </si>
  <si>
    <t>Satış Kategorisi</t>
  </si>
  <si>
    <t>Sınav Sonucu</t>
  </si>
  <si>
    <t>Ahu Erdem</t>
  </si>
  <si>
    <t>Uzman</t>
  </si>
  <si>
    <t>Kadın</t>
  </si>
  <si>
    <t>Balıkesir</t>
  </si>
  <si>
    <t>HR</t>
  </si>
  <si>
    <t>Cihaz</t>
  </si>
  <si>
    <t>Ali Akıl</t>
  </si>
  <si>
    <t>Erkek</t>
  </si>
  <si>
    <t>İzmir</t>
  </si>
  <si>
    <t>FN</t>
  </si>
  <si>
    <t>Aksesuar</t>
  </si>
  <si>
    <t>Arzu Bahar</t>
  </si>
  <si>
    <t>Direktör</t>
  </si>
  <si>
    <t>İstanbul</t>
  </si>
  <si>
    <t>Audit</t>
  </si>
  <si>
    <t>Bahar Alyanak</t>
  </si>
  <si>
    <t>Müdür</t>
  </si>
  <si>
    <t>Muğla</t>
  </si>
  <si>
    <t>Satış</t>
  </si>
  <si>
    <t>Elektronik</t>
  </si>
  <si>
    <t>Sami Kırgız</t>
  </si>
  <si>
    <t>Adana</t>
  </si>
  <si>
    <t>Mahir Kal</t>
  </si>
  <si>
    <t>Van</t>
  </si>
  <si>
    <t>NT</t>
  </si>
  <si>
    <t>Kemal Kar</t>
  </si>
  <si>
    <t>Kocaeli</t>
  </si>
  <si>
    <t>Pınar Yeşilyurt</t>
  </si>
  <si>
    <t>Ankara</t>
  </si>
  <si>
    <t>Marketing</t>
  </si>
  <si>
    <t>Şeyma Kadı</t>
  </si>
  <si>
    <t>Trabzon</t>
  </si>
  <si>
    <t>Ict</t>
  </si>
  <si>
    <t>Aslıhan Güneş</t>
  </si>
  <si>
    <t>Bursa</t>
  </si>
  <si>
    <t>Mert Yazı</t>
  </si>
  <si>
    <t>Gaziantep</t>
  </si>
  <si>
    <t>Kenan Bar</t>
  </si>
  <si>
    <t>Zonguldak</t>
  </si>
  <si>
    <t>Kağan Mana</t>
  </si>
  <si>
    <t>Tekirdağ</t>
  </si>
  <si>
    <t>Procument</t>
  </si>
  <si>
    <t>Mehmet Tam</t>
  </si>
  <si>
    <t>Muhsin Ildaş</t>
  </si>
  <si>
    <t>Eskişehir</t>
  </si>
  <si>
    <t>Ahsen Göz</t>
  </si>
  <si>
    <t>Halim Sevgi</t>
  </si>
  <si>
    <t>Antalya</t>
  </si>
  <si>
    <t>Musa Tamam</t>
  </si>
  <si>
    <t>Adıyaman</t>
  </si>
  <si>
    <t>Reyhan Hamam</t>
  </si>
  <si>
    <t>Kayseri</t>
  </si>
  <si>
    <t>Havva Kaba</t>
  </si>
  <si>
    <t>Aksaray</t>
  </si>
  <si>
    <t>Ceo Office</t>
  </si>
  <si>
    <t>Tekin Mısır</t>
  </si>
  <si>
    <t>✏️  METİN DÜZENLEME – TRIM / PROPER / CONCAT</t>
  </si>
  <si>
    <t xml:space="preserve">  ℹ️  Ham verideki fazla boşluklar TRIM, büyük/küçük harf PROPER, birleştirme CONCAT ile düzeltildi</t>
  </si>
  <si>
    <t>Ham Ad</t>
  </si>
  <si>
    <t>Ham Soyad</t>
  </si>
  <si>
    <t>Düzeltilmiş Ad</t>
  </si>
  <si>
    <t>Düzeltilmiş Soyad</t>
  </si>
  <si>
    <t>Ad Soyad (Birleşik)</t>
  </si>
  <si>
    <t>Değerler (Formülsüz)</t>
  </si>
  <si>
    <t xml:space="preserve">  şeyma</t>
  </si>
  <si>
    <t xml:space="preserve">KADI </t>
  </si>
  <si>
    <t>(Formül sonrası Ctrl+C → Özel Yapıştır → Değerler)</t>
  </si>
  <si>
    <t>ASLIHAN</t>
  </si>
  <si>
    <t xml:space="preserve">  güneş</t>
  </si>
  <si>
    <t>YAZI</t>
  </si>
  <si>
    <t xml:space="preserve"> BAR</t>
  </si>
  <si>
    <t>pınar</t>
  </si>
  <si>
    <t>YEŞİLYURT</t>
  </si>
  <si>
    <t>SAMI</t>
  </si>
  <si>
    <t xml:space="preserve">kırgız  </t>
  </si>
  <si>
    <t>🔢  RUTİN HESAPLAMALAR</t>
  </si>
  <si>
    <t xml:space="preserve">  💰  A) ZAMLI MAAŞ HESABI   |   Yeni Maaş = Maaş × (1 + Zam Oranı)</t>
  </si>
  <si>
    <t>Ad</t>
  </si>
  <si>
    <t>Soyad</t>
  </si>
  <si>
    <t>Zam Oranı</t>
  </si>
  <si>
    <t>Yeni Maaş (₺)</t>
  </si>
  <si>
    <t>Artış (₺)</t>
  </si>
  <si>
    <t>Yorum</t>
  </si>
  <si>
    <t>Ahu</t>
  </si>
  <si>
    <t>Erdem</t>
  </si>
  <si>
    <t>Ali</t>
  </si>
  <si>
    <t>Akıl</t>
  </si>
  <si>
    <t>Arzu</t>
  </si>
  <si>
    <t>Bahar</t>
  </si>
  <si>
    <t>Alyanak</t>
  </si>
  <si>
    <t>Sami</t>
  </si>
  <si>
    <t>Kırgız</t>
  </si>
  <si>
    <t xml:space="preserve">  📊  B) DEĞİŞİM ORANI   |   = (Yeni - Eski) / Eski</t>
  </si>
  <si>
    <t>2024 Satış Sayısı</t>
  </si>
  <si>
    <t>2025 Satış Sayısı</t>
  </si>
  <si>
    <t>Değişim Oranı</t>
  </si>
  <si>
    <t xml:space="preserve">  🕐  C) ÇALIŞMA SÜRESİ   |   =MOD(Çıkış-Giriş, 1)</t>
  </si>
  <si>
    <t>Personel</t>
  </si>
  <si>
    <t>Giriş Saati</t>
  </si>
  <si>
    <t>Çıkış Saati</t>
  </si>
  <si>
    <t>Çalışma Süresi</t>
  </si>
  <si>
    <t>Mesai Durumu</t>
  </si>
  <si>
    <t>🔍  VLOOKUP – Telefon Numarasına Göre Bilgi Getirme</t>
  </si>
  <si>
    <t xml:space="preserve">  📋  KAYNAK TABLO (Sol)</t>
  </si>
  <si>
    <t xml:space="preserve">  🎯  VLOOKUP SONUÇ TABLOSU (Sağ)</t>
  </si>
  <si>
    <t>Tel. No</t>
  </si>
  <si>
    <t>Şehir</t>
  </si>
  <si>
    <t>Kıdem</t>
  </si>
  <si>
    <t>Tel. No (Arama)</t>
  </si>
  <si>
    <t>Şehir ⬅ VLOOKUP</t>
  </si>
  <si>
    <t>Kıdem ⬅ VLOOKUP</t>
  </si>
  <si>
    <t>Ünvan ⬅ VLOOKUP</t>
  </si>
  <si>
    <t>Bölüm ⬅ VLOOKUP</t>
  </si>
  <si>
    <t>📐  FORMÜLLER – IF / IFS / COUNTIF / SUMIF / AVERAGEIF</t>
  </si>
  <si>
    <t>Cinsiyet</t>
  </si>
  <si>
    <t>Sınav Durumu
(IF)</t>
  </si>
  <si>
    <t>Kıdem Grubu
(IFS)</t>
  </si>
  <si>
    <t>Performans
(IF+AND)</t>
  </si>
  <si>
    <t>Maaş Grubu
(IFS)</t>
  </si>
  <si>
    <t xml:space="preserve">  📊  ÖZET İSTATİSTİKLER (COUNTIF / SUMIF / AVERAGEIF)</t>
  </si>
  <si>
    <t>İstatistik</t>
  </si>
  <si>
    <t>Formül</t>
  </si>
  <si>
    <t>Sonuç</t>
  </si>
  <si>
    <t>Toplam Çalışan Sayısı</t>
  </si>
  <si>
    <t xml:space="preserve">  =COUNTA(A3:A17)</t>
  </si>
  <si>
    <t>Kadın Çalışan Sayısı</t>
  </si>
  <si>
    <t xml:space="preserve">  =COUNTIF(D3:D17,"Kadın")</t>
  </si>
  <si>
    <t>Erkek Çalışan Sayısı</t>
  </si>
  <si>
    <t xml:space="preserve">  =COUNTIF(D3:D17,"Erkek")</t>
  </si>
  <si>
    <t>Sınavı Geçen Sayısı (≥70)</t>
  </si>
  <si>
    <t xml:space="preserve">  =COUNTIF(J3:J17,"&gt;=70")</t>
  </si>
  <si>
    <t>Satış Bölümü Satış Toplamı</t>
  </si>
  <si>
    <t xml:space="preserve">  =SUMIF(G3:G17,"Satış",I3:I17)</t>
  </si>
  <si>
    <t>HR Bölümü Maaş Toplamı</t>
  </si>
  <si>
    <t xml:space="preserve">  =SUMIF(G3:G17,"HR",H3:H17)</t>
  </si>
  <si>
    <t>Ortalama Maaş</t>
  </si>
  <si>
    <t xml:space="preserve">  =AVERAGE(H3:H17)</t>
  </si>
  <si>
    <t>Kadın Ort. Sınav Sonucu</t>
  </si>
  <si>
    <t xml:space="preserve">  =AVERAGEIF(D3:D17,"Kadın",J3:J17)</t>
  </si>
  <si>
    <t>Uzman Ort. Maaşı</t>
  </si>
  <si>
    <t xml:space="preserve">  =AVERAGEIF(B3:B17,"Uzman",H3:H17)</t>
  </si>
  <si>
    <t>📋  TABLO VERİ DÜZENLEMEsi – Format, Ayraç, % Dönüşüm</t>
  </si>
  <si>
    <t>Doğum (Ham)</t>
  </si>
  <si>
    <t>Doğum (Tarih)</t>
  </si>
  <si>
    <t>İşe Başlama (Ham)</t>
  </si>
  <si>
    <t>İşe Başlama (Tarih)</t>
  </si>
  <si>
    <t>Net Maaş</t>
  </si>
  <si>
    <t>Net Maaş (Ayraçlı)</t>
  </si>
  <si>
    <t>Verimlilik (Ham)</t>
  </si>
  <si>
    <t>Verimlilik (%)</t>
  </si>
  <si>
    <t>Not</t>
  </si>
  <si>
    <t>Şeyma</t>
  </si>
  <si>
    <t>Kadı</t>
  </si>
  <si>
    <t>Aslıhan</t>
  </si>
  <si>
    <t>Güneş</t>
  </si>
  <si>
    <t>Mert</t>
  </si>
  <si>
    <t>Yazı</t>
  </si>
  <si>
    <t>Kenan</t>
  </si>
  <si>
    <t>Bar</t>
  </si>
  <si>
    <t>Pınar</t>
  </si>
  <si>
    <t>Yeşilyurt</t>
  </si>
  <si>
    <t>Mahir</t>
  </si>
  <si>
    <t>Kal</t>
  </si>
  <si>
    <t>📈  GRAFİKLER &amp; PİVOT – Bölüme Göre Satış / Bölgeye Göre Dağılım</t>
  </si>
  <si>
    <t xml:space="preserve">  📋  BÖLÜME GÖRE TOPLAM SATIŞ (Pivot Sim.)</t>
  </si>
  <si>
    <t>Toplam Satış Tutarı</t>
  </si>
  <si>
    <t>Ort. Sınav Puanı</t>
  </si>
  <si>
    <t>Ort. Kıdem</t>
  </si>
  <si>
    <t>Satış Payı %</t>
  </si>
  <si>
    <t>TOPLAM</t>
  </si>
  <si>
    <t>mert</t>
  </si>
  <si>
    <t xml:space="preserve">Beyza </t>
  </si>
  <si>
    <t>✅ Geçti</t>
  </si>
  <si>
    <t>Çıktı</t>
  </si>
  <si>
    <t>❌ Kaldı</t>
  </si>
  <si>
    <t xml:space="preserve">  =COUNTIF(J3:J17,"*Geçti*")</t>
  </si>
  <si>
    <t xml:space="preserve"> =COUNTIF(J3:J17,"*Kaldı*")</t>
  </si>
  <si>
    <t>💰 Ortalama Maaş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</si>
</sst>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 ₺&quot;"/>
    <numFmt numFmtId="165" formatCode="0.0"/>
    <numFmt numFmtId="166" formatCode="dd\.mm\.yyyy"/>
    <numFmt numFmtId="167" formatCode="0.0%"/>
    <numFmt numFmtId="168" formatCode="[h]:mm"/>
  </numFmts>
  <fonts count="28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18"/>
      <color rgb="FF2E75B6"/>
      <name val="Calibri"/>
      <charset val="1"/>
    </font>
    <font>
      <b/>
      <sz val="18"/>
      <color rgb="FF1F3864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sz val="10"/>
      <color rgb="FF000000"/>
      <name val="Calibri"/>
      <charset val="1"/>
    </font>
    <font>
      <b/>
      <sz val="13"/>
      <color rgb="FFFFFFFF"/>
      <name val="Calibri"/>
      <charset val="1"/>
    </font>
    <font>
      <i/>
      <sz val="9"/>
      <color rgb="FF2E75B6"/>
      <name val="Calibri"/>
      <charset val="1"/>
    </font>
    <font>
      <sz val="10"/>
      <color rgb="FF808080"/>
      <name val="Calibri"/>
      <charset val="1"/>
    </font>
    <font>
      <sz val="10"/>
      <color rgb="FF0070C0"/>
      <name val="Calibri"/>
      <charset val="1"/>
    </font>
    <font>
      <b/>
      <sz val="10"/>
      <color rgb="FF70AD47"/>
      <name val="Calibri"/>
      <charset val="1"/>
    </font>
    <font>
      <i/>
      <sz val="8"/>
      <color rgb="FF808080"/>
      <name val="Calibri"/>
      <charset val="1"/>
    </font>
    <font>
      <sz val="10"/>
      <color rgb="FF70AD47"/>
      <name val="Calibri"/>
      <charset val="1"/>
    </font>
    <font>
      <b/>
      <sz val="10"/>
      <color rgb="FF2E75B6"/>
      <name val="Calibri"/>
      <charset val="1"/>
    </font>
    <font>
      <b/>
      <sz val="10"/>
      <color rgb="FF000000"/>
      <name val="Calibri"/>
      <charset val="1"/>
    </font>
    <font>
      <b/>
      <sz val="9"/>
      <color rgb="FFFFFFFF"/>
      <name val="Calibri"/>
      <charset val="1"/>
    </font>
    <font>
      <b/>
      <sz val="10"/>
      <color rgb="FF0070C0"/>
      <name val="Calibri"/>
      <charset val="1"/>
    </font>
    <font>
      <i/>
      <sz val="9"/>
      <color rgb="FF2E75B6"/>
      <name val="Consolas"/>
      <charset val="1"/>
    </font>
    <font>
      <b/>
      <sz val="11"/>
      <color rgb="FF1F3864"/>
      <name val="Calibri"/>
      <charset val="1"/>
    </font>
    <font>
      <b/>
      <sz val="10"/>
      <color rgb="FF1F3864"/>
      <name val="Calibri"/>
      <charset val="1"/>
    </font>
    <font>
      <b/>
      <sz val="10"/>
      <color rgb="FFED7D31"/>
      <name val="Calibri"/>
      <charset val="1"/>
    </font>
    <font>
      <sz val="10"/>
      <color rgb="FF000000"/>
      <name val="Calibri"/>
      <family val="2"/>
      <charset val="162"/>
    </font>
    <font>
      <i/>
      <sz val="9"/>
      <color rgb="FF2E75B6"/>
      <name val="Consolas"/>
      <family val="3"/>
      <charset val="162"/>
    </font>
    <font>
      <b/>
      <sz val="11"/>
      <color rgb="FFFFFFFF"/>
      <name val="Calibri"/>
      <family val="2"/>
      <charset val="162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672A8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ED7D31"/>
        <bgColor rgb="FFDC853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9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166" fontId="8" fillId="5" borderId="2" xfId="0" applyNumberFormat="1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165" fontId="8" fillId="5" borderId="2" xfId="0" applyNumberFormat="1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166" fontId="8" fillId="4" borderId="2" xfId="0" applyNumberFormat="1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165" fontId="8" fillId="4" borderId="2" xfId="0" applyNumberFormat="1" applyFont="1" applyFill="1" applyBorder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vertical="center" wrapText="1"/>
    </xf>
    <xf numFmtId="9" fontId="8" fillId="5" borderId="2" xfId="0" applyNumberFormat="1" applyFont="1" applyFill="1" applyBorder="1" applyAlignment="1">
      <alignment horizontal="center" vertical="center" wrapText="1"/>
    </xf>
    <xf numFmtId="164" fontId="13" fillId="5" borderId="2" xfId="0" applyNumberFormat="1" applyFont="1" applyFill="1" applyBorder="1" applyAlignment="1">
      <alignment horizontal="center" vertical="center" wrapText="1"/>
    </xf>
    <xf numFmtId="164" fontId="15" fillId="5" borderId="2" xfId="0" applyNumberFormat="1" applyFont="1" applyFill="1" applyBorder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center" vertical="center" wrapText="1"/>
    </xf>
    <xf numFmtId="9" fontId="8" fillId="4" borderId="2" xfId="0" applyNumberFormat="1" applyFont="1" applyFill="1" applyBorder="1" applyAlignment="1">
      <alignment horizontal="center" vertical="center" wrapText="1"/>
    </xf>
    <xf numFmtId="167" fontId="16" fillId="5" borderId="2" xfId="0" applyNumberFormat="1" applyFont="1" applyFill="1" applyBorder="1" applyAlignment="1">
      <alignment horizontal="center" vertical="center" wrapText="1"/>
    </xf>
    <xf numFmtId="167" fontId="16" fillId="4" borderId="2" xfId="0" applyNumberFormat="1" applyFont="1" applyFill="1" applyBorder="1" applyAlignment="1">
      <alignment horizontal="center" vertical="center" wrapText="1"/>
    </xf>
    <xf numFmtId="20" fontId="8" fillId="5" borderId="2" xfId="0" applyNumberFormat="1" applyFont="1" applyFill="1" applyBorder="1" applyAlignment="1">
      <alignment horizontal="center" vertical="center" wrapText="1"/>
    </xf>
    <xf numFmtId="168" fontId="16" fillId="5" borderId="2" xfId="0" applyNumberFormat="1" applyFont="1" applyFill="1" applyBorder="1" applyAlignment="1">
      <alignment horizontal="center" vertical="center" wrapText="1"/>
    </xf>
    <xf numFmtId="20" fontId="8" fillId="4" borderId="2" xfId="0" applyNumberFormat="1" applyFont="1" applyFill="1" applyBorder="1" applyAlignment="1">
      <alignment horizontal="center" vertical="center" wrapText="1"/>
    </xf>
    <xf numFmtId="168" fontId="16" fillId="4" borderId="2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20" fillId="6" borderId="2" xfId="0" applyFont="1" applyFill="1" applyBorder="1" applyAlignment="1">
      <alignment horizontal="left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left" vertical="center" wrapText="1"/>
    </xf>
    <xf numFmtId="164" fontId="21" fillId="7" borderId="2" xfId="0" applyNumberFormat="1" applyFont="1" applyFill="1" applyBorder="1" applyAlignment="1">
      <alignment horizontal="center" vertical="center" wrapText="1"/>
    </xf>
    <xf numFmtId="165" fontId="21" fillId="7" borderId="2" xfId="0" applyNumberFormat="1" applyFont="1" applyFill="1" applyBorder="1" applyAlignment="1">
      <alignment horizontal="center" vertical="center" wrapText="1"/>
    </xf>
    <xf numFmtId="166" fontId="15" fillId="5" borderId="2" xfId="0" applyNumberFormat="1" applyFont="1" applyFill="1" applyBorder="1" applyAlignment="1">
      <alignment horizontal="center" vertical="center" wrapText="1"/>
    </xf>
    <xf numFmtId="164" fontId="22" fillId="6" borderId="2" xfId="0" applyNumberFormat="1" applyFont="1" applyFill="1" applyBorder="1" applyAlignment="1">
      <alignment horizontal="center" vertical="center" wrapText="1"/>
    </xf>
    <xf numFmtId="9" fontId="23" fillId="5" borderId="2" xfId="0" applyNumberFormat="1" applyFont="1" applyFill="1" applyBorder="1" applyAlignment="1">
      <alignment horizontal="center" vertical="center" wrapText="1"/>
    </xf>
    <xf numFmtId="166" fontId="15" fillId="4" borderId="2" xfId="0" applyNumberFormat="1" applyFont="1" applyFill="1" applyBorder="1" applyAlignment="1">
      <alignment horizontal="center" vertical="center" wrapText="1"/>
    </xf>
    <xf numFmtId="9" fontId="23" fillId="4" borderId="2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167" fontId="23" fillId="5" borderId="2" xfId="0" applyNumberFormat="1" applyFont="1" applyFill="1" applyBorder="1" applyAlignment="1">
      <alignment horizontal="center" vertical="center" wrapText="1"/>
    </xf>
    <xf numFmtId="167" fontId="23" fillId="4" borderId="2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7" fontId="3" fillId="2" borderId="2" xfId="0" applyNumberFormat="1" applyFont="1" applyFill="1" applyBorder="1" applyAlignment="1">
      <alignment horizontal="center" vertical="center" wrapText="1"/>
    </xf>
    <xf numFmtId="14" fontId="15" fillId="5" borderId="2" xfId="0" applyNumberFormat="1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164" fontId="7" fillId="4" borderId="0" xfId="0" applyNumberFormat="1" applyFont="1" applyFill="1" applyAlignment="1">
      <alignment horizontal="center" vertical="center" wrapText="1"/>
    </xf>
    <xf numFmtId="165" fontId="7" fillId="4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164" fontId="7" fillId="5" borderId="0" xfId="0" applyNumberFormat="1" applyFont="1" applyFill="1" applyAlignment="1">
      <alignment horizontal="center" vertical="center" wrapText="1"/>
    </xf>
    <xf numFmtId="165" fontId="7" fillId="5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26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Fill="1"/>
    <xf numFmtId="0" fontId="0" fillId="0" borderId="0" xfId="0" applyFill="1" applyBorder="1"/>
    <xf numFmtId="0" fontId="1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164" fontId="8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9" fontId="5" fillId="4" borderId="0" xfId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672A8"/>
      <rgbColor rgb="FFBFBFBF"/>
      <rgbColor rgb="FF808080"/>
      <rgbColor rgb="FF93A9CE"/>
      <rgbColor rgb="FFAB4744"/>
      <rgbColor rgb="FFFFF2CC"/>
      <rgbColor rgb="FFF2F2F2"/>
      <rgbColor rgb="FF660066"/>
      <rgbColor rgb="FFDC853E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9F9F9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70AD47"/>
      <rgbColor rgb="FFFFCC00"/>
      <rgbColor rgb="FFFF9900"/>
      <rgbColor rgb="FFED7D31"/>
      <rgbColor rgb="FF725990"/>
      <rgbColor rgb="FF878787"/>
      <rgbColor rgb="FF1F3864"/>
      <rgbColor rgb="FF4299B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Bölgeye Göre Satış Tutarı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Grafikler &amp; Pivot'!$A$17</c:f>
              <c:strCache>
                <c:ptCount val="1"/>
                <c:pt idx="0">
                  <c:v>Akdeniz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Pivot'!$B$17</c:f>
              <c:numCache>
                <c:formatCode>#,##0" ₺"</c:formatCode>
                <c:ptCount val="1"/>
                <c:pt idx="0">
                  <c:v>147800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8-4ACF-B6AB-2EA9BDC79616}"/>
            </c:ext>
          </c:extLst>
        </c:ser>
        <c:ser>
          <c:idx val="1"/>
          <c:order val="1"/>
          <c:tx>
            <c:strRef>
              <c:f>'📈 Grafikler &amp; Pivot'!$A$18</c:f>
              <c:strCache>
                <c:ptCount val="1"/>
                <c:pt idx="0">
                  <c:v>Marmara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Pivot'!$B$18</c:f>
              <c:numCache>
                <c:formatCode>#,##0" ₺"</c:formatCode>
                <c:ptCount val="1"/>
                <c:pt idx="0">
                  <c:v>182500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8-4ACF-B6AB-2EA9BDC79616}"/>
            </c:ext>
          </c:extLst>
        </c:ser>
        <c:ser>
          <c:idx val="2"/>
          <c:order val="2"/>
          <c:tx>
            <c:strRef>
              <c:f>'📈 Grafikler &amp; Pivot'!$A$19</c:f>
              <c:strCache>
                <c:ptCount val="1"/>
                <c:pt idx="0">
                  <c:v>İç Anadolu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Pivot'!$B$19</c:f>
              <c:numCache>
                <c:formatCode>#,##0" ₺"</c:formatCode>
                <c:ptCount val="1"/>
                <c:pt idx="0">
                  <c:v>259600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78-4ACF-B6AB-2EA9BDC79616}"/>
            </c:ext>
          </c:extLst>
        </c:ser>
        <c:ser>
          <c:idx val="3"/>
          <c:order val="3"/>
          <c:tx>
            <c:strRef>
              <c:f>'📈 Grafikler &amp; Pivot'!$A$20</c:f>
              <c:strCache>
                <c:ptCount val="1"/>
                <c:pt idx="0">
                  <c:v>Ege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Pivot'!$B$20</c:f>
              <c:numCache>
                <c:formatCode>#,##0" ₺"</c:formatCode>
                <c:ptCount val="1"/>
                <c:pt idx="0">
                  <c:v>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78-4ACF-B6AB-2EA9BDC79616}"/>
            </c:ext>
          </c:extLst>
        </c:ser>
        <c:ser>
          <c:idx val="4"/>
          <c:order val="4"/>
          <c:tx>
            <c:strRef>
              <c:f>'📈 Grafikler &amp; Pivot'!$A$21</c:f>
              <c:strCache>
                <c:ptCount val="1"/>
                <c:pt idx="0">
                  <c:v>Karadeniz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Pivot'!$B$21</c:f>
              <c:numCache>
                <c:formatCode>#,##0" ₺"</c:formatCode>
                <c:ptCount val="1"/>
                <c:pt idx="0">
                  <c:v>92800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78-4ACF-B6AB-2EA9BDC79616}"/>
            </c:ext>
          </c:extLst>
        </c:ser>
        <c:ser>
          <c:idx val="5"/>
          <c:order val="5"/>
          <c:tx>
            <c:strRef>
              <c:f>'📈 Grafikler &amp; Pivot'!$A$22</c:f>
              <c:strCache>
                <c:ptCount val="1"/>
                <c:pt idx="0">
                  <c:v>Güneydoğu Anadolu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Pivot'!$B$22</c:f>
              <c:numCache>
                <c:formatCode>#,##0" ₺"</c:formatCode>
                <c:ptCount val="1"/>
                <c:pt idx="0">
                  <c:v>145000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78-4ACF-B6AB-2EA9BDC79616}"/>
            </c:ext>
          </c:extLst>
        </c:ser>
        <c:ser>
          <c:idx val="6"/>
          <c:order val="6"/>
          <c:tx>
            <c:strRef>
              <c:f>'📈 Grafikler &amp; Pivot'!$A$23</c:f>
              <c:strCache>
                <c:ptCount val="1"/>
                <c:pt idx="0">
                  <c:v>Doğu Anadolu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Pivot'!$B$23</c:f>
              <c:numCache>
                <c:formatCode>#,##0" ₺"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78-4ACF-B6AB-2EA9BDC79616}"/>
            </c:ext>
          </c:extLst>
        </c:ser>
        <c:ser>
          <c:idx val="7"/>
          <c:order val="7"/>
          <c:tx>
            <c:strRef>
              <c:f>'📈 Grafikler &amp; Pivot'!$A$24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Pivot'!$B$24</c:f>
              <c:numCache>
                <c:formatCode>#,##0" ₺"</c:formatCode>
                <c:ptCount val="1"/>
                <c:pt idx="0">
                  <c:v>1317700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78-4ACF-B6AB-2EA9BDC79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29599"/>
        <c:axId val="213219519"/>
      </c:barChart>
      <c:catAx>
        <c:axId val="21322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19519"/>
        <c:crosses val="autoZero"/>
        <c:auto val="1"/>
        <c:lblAlgn val="ctr"/>
        <c:lblOffset val="100"/>
        <c:noMultiLvlLbl val="0"/>
      </c:catAx>
      <c:valAx>
        <c:axId val="21321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&quot; 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2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C00000"/>
                </a:solidFill>
              </a:rPr>
              <a:t>Cinsiyet Dağılımı</a:t>
            </a:r>
            <a:endParaRPr lang="en-US" sz="1400" b="1" i="0" u="none" strike="noStrike" kern="1200" spc="0" baseline="0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57A-4B98-A661-FAD5215F35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57A-4B98-A661-FAD5215F357E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'📐 Formüller'!$A$23:$B$24</c15:sqref>
                  </c15:fullRef>
                  <c15:levelRef>
                    <c15:sqref>'📐 Formüller'!$A$23:$A$24</c15:sqref>
                  </c15:levelRef>
                </c:ext>
              </c:extLst>
              <c:f>'📐 Formüller'!$A$23:$A$24</c:f>
              <c:strCache>
                <c:ptCount val="2"/>
                <c:pt idx="0">
                  <c:v>Kadın Çalışan Sayısı</c:v>
                </c:pt>
                <c:pt idx="1">
                  <c:v>Erkek Çalışan Sayısı</c:v>
                </c:pt>
              </c:strCache>
            </c:strRef>
          </c:cat>
          <c:val>
            <c:numRef>
              <c:f>'📐 Formüller'!$C$23:$C$24</c:f>
              <c:numCache>
                <c:formatCode>General</c:formatCode>
                <c:ptCount val="2"/>
                <c:pt idx="0">
                  <c:v>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7A-4B98-A661-FAD5215F3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rgbClr val="C00000"/>
                </a:solidFill>
              </a:rPr>
              <a:t>Oranlar</a:t>
            </a:r>
            <a:endParaRPr lang="en-US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'📐 Formüller'!$E$21:$F$23</c:f>
              <c:multiLvlStrCache>
                <c:ptCount val="3"/>
                <c:lvl>
                  <c:pt idx="0">
                    <c:v>Formül</c:v>
                  </c:pt>
                  <c:pt idx="1">
                    <c:v>  =COUNTIF(J3:J17,"*Geçti*")</c:v>
                  </c:pt>
                  <c:pt idx="2">
                    <c:v> =COUNTIF(J3:J17,"*Kaldı*")</c:v>
                  </c:pt>
                </c:lvl>
                <c:lvl>
                  <c:pt idx="0">
                    <c:v>Çıktı</c:v>
                  </c:pt>
                  <c:pt idx="1">
                    <c:v>✅ Geçti</c:v>
                  </c:pt>
                  <c:pt idx="2">
                    <c:v>❌ Kaldı</c:v>
                  </c:pt>
                </c:lvl>
              </c:multiLvlStrCache>
            </c:multiLvlStrRef>
          </c:cat>
          <c:val>
            <c:numRef>
              <c:f>'📐 Formüller'!$G$21:$G$23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D044-451E-A81C-CF447CCC0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223359"/>
        <c:axId val="213228159"/>
        <c:axId val="0"/>
      </c:bar3DChart>
      <c:catAx>
        <c:axId val="21322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28159"/>
        <c:crosses val="autoZero"/>
        <c:auto val="1"/>
        <c:lblAlgn val="ctr"/>
        <c:lblOffset val="100"/>
        <c:noMultiLvlLbl val="0"/>
      </c:catAx>
      <c:valAx>
        <c:axId val="21322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2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Bölgeye Göre Toplam Satış Tutarı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Grafikler &amp; Pivot'!$C$3</c:f>
              <c:strCache>
                <c:ptCount val="1"/>
                <c:pt idx="0">
                  <c:v>Toplam Satış Tutarı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Grafikler &amp; Pivot'!$A$4:$A$10</c:f>
              <c:strCache>
                <c:ptCount val="7"/>
                <c:pt idx="0">
                  <c:v>Akdeniz</c:v>
                </c:pt>
                <c:pt idx="1">
                  <c:v>Marmara</c:v>
                </c:pt>
                <c:pt idx="2">
                  <c:v>İç Anadolu</c:v>
                </c:pt>
                <c:pt idx="3">
                  <c:v>Ege</c:v>
                </c:pt>
                <c:pt idx="4">
                  <c:v>Karadeniz</c:v>
                </c:pt>
                <c:pt idx="5">
                  <c:v>Güneydoğu Anadolu</c:v>
                </c:pt>
                <c:pt idx="6">
                  <c:v>Doğu Anadolu</c:v>
                </c:pt>
              </c:strCache>
            </c:strRef>
          </c:cat>
          <c:val>
            <c:numRef>
              <c:f>'📈 Grafikler &amp; Pivot'!$C$4:$C$10</c:f>
              <c:numCache>
                <c:formatCode>#,##0" ₺"</c:formatCode>
                <c:ptCount val="7"/>
                <c:pt idx="0">
                  <c:v>147800</c:v>
                </c:pt>
                <c:pt idx="1">
                  <c:v>182500</c:v>
                </c:pt>
                <c:pt idx="2">
                  <c:v>259600</c:v>
                </c:pt>
                <c:pt idx="3">
                  <c:v>480000</c:v>
                </c:pt>
                <c:pt idx="4">
                  <c:v>92800</c:v>
                </c:pt>
                <c:pt idx="5">
                  <c:v>145000</c:v>
                </c:pt>
                <c:pt idx="6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7-47B3-8153-576289852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36225"/>
        <c:axId val="26339207"/>
      </c:barChart>
      <c:catAx>
        <c:axId val="413362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Bölge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39207"/>
        <c:crosses val="autoZero"/>
        <c:auto val="1"/>
        <c:lblAlgn val="ctr"/>
        <c:lblOffset val="100"/>
        <c:noMultiLvlLbl val="0"/>
      </c:catAx>
      <c:valAx>
        <c:axId val="26339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Satış Tutarı (₺)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₺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3362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Bölge Satış Pay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'📈 Grafikler &amp; Pivot'!$C$3</c:f>
              <c:strCache>
                <c:ptCount val="1"/>
                <c:pt idx="0">
                  <c:v>Toplam Satış Tutarı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373-44A8-BF87-B9F639D83ED6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373-44A8-BF87-B9F639D83ED6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C373-44A8-BF87-B9F639D83ED6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C373-44A8-BF87-B9F639D83ED6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C373-44A8-BF87-B9F639D83ED6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C373-44A8-BF87-B9F639D83ED6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C373-44A8-BF87-B9F639D83ED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73-44A8-BF87-B9F639D83ED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73-44A8-BF87-B9F639D83ED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73-44A8-BF87-B9F639D83ED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73-44A8-BF87-B9F639D83ED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373-44A8-BF87-B9F639D83ED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373-44A8-BF87-B9F639D83ED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373-44A8-BF87-B9F639D83E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'📈 Grafikler &amp; Pivot'!$A$4:$A$10</c:f>
              <c:strCache>
                <c:ptCount val="7"/>
                <c:pt idx="0">
                  <c:v>Akdeniz</c:v>
                </c:pt>
                <c:pt idx="1">
                  <c:v>Marmara</c:v>
                </c:pt>
                <c:pt idx="2">
                  <c:v>İç Anadolu</c:v>
                </c:pt>
                <c:pt idx="3">
                  <c:v>Ege</c:v>
                </c:pt>
                <c:pt idx="4">
                  <c:v>Karadeniz</c:v>
                </c:pt>
                <c:pt idx="5">
                  <c:v>Güneydoğu Anadolu</c:v>
                </c:pt>
                <c:pt idx="6">
                  <c:v>Doğu Anadolu</c:v>
                </c:pt>
              </c:strCache>
            </c:strRef>
          </c:cat>
          <c:val>
            <c:numRef>
              <c:f>'📈 Grafikler &amp; Pivot'!$C$4:$C$10</c:f>
              <c:numCache>
                <c:formatCode>#,##0" ₺"</c:formatCode>
                <c:ptCount val="7"/>
                <c:pt idx="0">
                  <c:v>147800</c:v>
                </c:pt>
                <c:pt idx="1">
                  <c:v>182500</c:v>
                </c:pt>
                <c:pt idx="2">
                  <c:v>259600</c:v>
                </c:pt>
                <c:pt idx="3">
                  <c:v>480000</c:v>
                </c:pt>
                <c:pt idx="4">
                  <c:v>92800</c:v>
                </c:pt>
                <c:pt idx="5">
                  <c:v>145000</c:v>
                </c:pt>
                <c:pt idx="6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373-44A8-BF87-B9F639D83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Grafikler &amp; Pivot'!$A$17</c:f>
              <c:strCache>
                <c:ptCount val="1"/>
                <c:pt idx="0">
                  <c:v>Akdeniz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Pivot'!$B$17</c:f>
              <c:numCache>
                <c:formatCode>#,##0" ₺"</c:formatCode>
                <c:ptCount val="1"/>
                <c:pt idx="0">
                  <c:v>147800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0-4EAC-839E-102BB2D282C2}"/>
            </c:ext>
          </c:extLst>
        </c:ser>
        <c:ser>
          <c:idx val="1"/>
          <c:order val="1"/>
          <c:tx>
            <c:strRef>
              <c:f>'📈 Grafikler &amp; Pivot'!$A$18</c:f>
              <c:strCache>
                <c:ptCount val="1"/>
                <c:pt idx="0">
                  <c:v>Marmara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Pivot'!$B$18</c:f>
              <c:numCache>
                <c:formatCode>#,##0" ₺"</c:formatCode>
                <c:ptCount val="1"/>
                <c:pt idx="0">
                  <c:v>182500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0-4EAC-839E-102BB2D282C2}"/>
            </c:ext>
          </c:extLst>
        </c:ser>
        <c:ser>
          <c:idx val="2"/>
          <c:order val="2"/>
          <c:tx>
            <c:strRef>
              <c:f>'📈 Grafikler &amp; Pivot'!$A$19</c:f>
              <c:strCache>
                <c:ptCount val="1"/>
                <c:pt idx="0">
                  <c:v>İç Anadolu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Pivot'!$B$19</c:f>
              <c:numCache>
                <c:formatCode>#,##0" ₺"</c:formatCode>
                <c:ptCount val="1"/>
                <c:pt idx="0">
                  <c:v>259600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D0-4EAC-839E-102BB2D282C2}"/>
            </c:ext>
          </c:extLst>
        </c:ser>
        <c:ser>
          <c:idx val="3"/>
          <c:order val="3"/>
          <c:tx>
            <c:strRef>
              <c:f>'📈 Grafikler &amp; Pivot'!$A$20</c:f>
              <c:strCache>
                <c:ptCount val="1"/>
                <c:pt idx="0">
                  <c:v>Ege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Pivot'!$B$20</c:f>
              <c:numCache>
                <c:formatCode>#,##0" ₺"</c:formatCode>
                <c:ptCount val="1"/>
                <c:pt idx="0">
                  <c:v>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D0-4EAC-839E-102BB2D282C2}"/>
            </c:ext>
          </c:extLst>
        </c:ser>
        <c:ser>
          <c:idx val="4"/>
          <c:order val="4"/>
          <c:tx>
            <c:strRef>
              <c:f>'📈 Grafikler &amp; Pivot'!$A$21</c:f>
              <c:strCache>
                <c:ptCount val="1"/>
                <c:pt idx="0">
                  <c:v>Karadeniz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Pivot'!$B$21</c:f>
              <c:numCache>
                <c:formatCode>#,##0" ₺"</c:formatCode>
                <c:ptCount val="1"/>
                <c:pt idx="0">
                  <c:v>92800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D0-4EAC-839E-102BB2D282C2}"/>
            </c:ext>
          </c:extLst>
        </c:ser>
        <c:ser>
          <c:idx val="5"/>
          <c:order val="5"/>
          <c:tx>
            <c:strRef>
              <c:f>'📈 Grafikler &amp; Pivot'!$A$22</c:f>
              <c:strCache>
                <c:ptCount val="1"/>
                <c:pt idx="0">
                  <c:v>Güneydoğu Anadolu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Pivot'!$B$22</c:f>
              <c:numCache>
                <c:formatCode>#,##0" ₺"</c:formatCode>
                <c:ptCount val="1"/>
                <c:pt idx="0">
                  <c:v>145000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D0-4EAC-839E-102BB2D282C2}"/>
            </c:ext>
          </c:extLst>
        </c:ser>
        <c:ser>
          <c:idx val="6"/>
          <c:order val="6"/>
          <c:tx>
            <c:strRef>
              <c:f>'📈 Grafikler &amp; Pivot'!$A$23</c:f>
              <c:strCache>
                <c:ptCount val="1"/>
                <c:pt idx="0">
                  <c:v>Doğu Anadolu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Pivot'!$B$23</c:f>
              <c:numCache>
                <c:formatCode>#,##0" ₺"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D0-4EAC-839E-102BB2D282C2}"/>
            </c:ext>
          </c:extLst>
        </c:ser>
        <c:ser>
          <c:idx val="7"/>
          <c:order val="7"/>
          <c:tx>
            <c:strRef>
              <c:f>'📈 Grafikler &amp; Pivot'!$A$24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'📈 Grafikler &amp; Pivot'!$B$16</c:f>
              <c:strCache>
                <c:ptCount val="1"/>
                <c:pt idx="0">
                  <c:v>Toplam Satış Tutarı</c:v>
                </c:pt>
              </c:strCache>
            </c:strRef>
          </c:cat>
          <c:val>
            <c:numRef>
              <c:f>'📈 Grafikler &amp; Pivot'!$B$24</c:f>
              <c:numCache>
                <c:formatCode>#,##0" ₺"</c:formatCode>
                <c:ptCount val="1"/>
                <c:pt idx="0">
                  <c:v>1317700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D0-4EAC-839E-102BB2D28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29599"/>
        <c:axId val="213219519"/>
      </c:barChart>
      <c:catAx>
        <c:axId val="21322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19519"/>
        <c:crosses val="autoZero"/>
        <c:auto val="1"/>
        <c:lblAlgn val="ctr"/>
        <c:lblOffset val="100"/>
        <c:noMultiLvlLbl val="0"/>
      </c:catAx>
      <c:valAx>
        <c:axId val="21321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&quot; 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2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152401</xdr:rowOff>
    </xdr:from>
    <xdr:to>
      <xdr:col>5</xdr:col>
      <xdr:colOff>152400</xdr:colOff>
      <xdr:row>31</xdr:row>
      <xdr:rowOff>35170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5D2CEF-0029-4981-AE79-50293E78F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222738</xdr:colOff>
      <xdr:row>17</xdr:row>
      <xdr:rowOff>164122</xdr:rowOff>
    </xdr:from>
    <xdr:to>
      <xdr:col>11</xdr:col>
      <xdr:colOff>269630</xdr:colOff>
      <xdr:row>31</xdr:row>
      <xdr:rowOff>58616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486A60-F833-474C-A24A-5DB8C0828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375137</xdr:colOff>
      <xdr:row>17</xdr:row>
      <xdr:rowOff>164122</xdr:rowOff>
    </xdr:from>
    <xdr:to>
      <xdr:col>16</xdr:col>
      <xdr:colOff>480646</xdr:colOff>
      <xdr:row>31</xdr:row>
      <xdr:rowOff>140676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A976CE-1562-48E8-A541-430F80DCC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</xdr:rowOff>
    </xdr:from>
    <xdr:to>
      <xdr:col>15</xdr:col>
      <xdr:colOff>187377</xdr:colOff>
      <xdr:row>22</xdr:row>
      <xdr:rowOff>87442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24983</xdr:colOff>
      <xdr:row>22</xdr:row>
      <xdr:rowOff>137409</xdr:rowOff>
    </xdr:from>
    <xdr:to>
      <xdr:col>15</xdr:col>
      <xdr:colOff>171503</xdr:colOff>
      <xdr:row>45</xdr:row>
      <xdr:rowOff>77473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114760</xdr:colOff>
      <xdr:row>25</xdr:row>
      <xdr:rowOff>37641</xdr:rowOff>
    </xdr:from>
    <xdr:to>
      <xdr:col>3</xdr:col>
      <xdr:colOff>573796</xdr:colOff>
      <xdr:row>40</xdr:row>
      <xdr:rowOff>26624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7D3586-8111-7A95-071B-8BE730A64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showGridLines="0" topLeftCell="A7" zoomScale="81" zoomScaleNormal="100" workbookViewId="0">
      <selection activeCell="G7" sqref="G7:I7"/>
    </sheetView>
  </sheetViews>
  <sheetFormatPr defaultColWidth="8.6640625" defaultRowHeight="14.4" x14ac:dyDescent="0.3"/>
  <cols>
    <col min="1" max="1" width="10" customWidth="1"/>
    <col min="2" max="2" width="14.6640625" customWidth="1"/>
    <col min="3" max="13" width="10" customWidth="1"/>
    <col min="14" max="14" width="18.5546875" customWidth="1"/>
  </cols>
  <sheetData>
    <row r="1" spans="1:14" ht="39.75" customHeight="1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ht="19.5" customHeight="1" x14ac:dyDescent="0.3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4" ht="25.5" customHeight="1" x14ac:dyDescent="0.3">
      <c r="A3" s="64"/>
      <c r="B3" s="64"/>
      <c r="C3" s="64"/>
      <c r="D3" s="64" t="s">
        <v>3</v>
      </c>
      <c r="E3" s="64"/>
      <c r="F3" s="64"/>
      <c r="G3" s="64"/>
      <c r="H3" s="64" t="s">
        <v>4</v>
      </c>
      <c r="I3" s="64"/>
      <c r="J3" s="64"/>
      <c r="K3" s="64"/>
      <c r="L3" s="64" t="s">
        <v>5</v>
      </c>
      <c r="M3" s="64"/>
      <c r="N3" s="64"/>
    </row>
    <row r="4" spans="1:14" ht="36" customHeight="1" x14ac:dyDescent="0.3">
      <c r="A4" s="68" t="s">
        <v>2</v>
      </c>
      <c r="B4" s="68"/>
      <c r="C4" s="68"/>
      <c r="D4" s="68" t="s">
        <v>210</v>
      </c>
      <c r="E4" s="68"/>
      <c r="F4" s="68"/>
      <c r="G4" s="68"/>
      <c r="H4" s="68" t="s">
        <v>4</v>
      </c>
      <c r="I4" s="68"/>
      <c r="J4" s="68"/>
      <c r="K4" s="68"/>
      <c r="L4" s="68" t="s">
        <v>10</v>
      </c>
      <c r="M4" s="68"/>
      <c r="N4" s="68"/>
    </row>
    <row r="5" spans="1:14" ht="36" customHeight="1" x14ac:dyDescent="0.3">
      <c r="A5" s="65">
        <f>COUNTA('🗂️ Ana Veri'!A2:A100)</f>
        <v>21</v>
      </c>
      <c r="B5" s="65"/>
      <c r="C5" s="65"/>
      <c r="D5" s="66">
        <f>AVERAGE('🗂️ Ana Veri'!K2:K22)</f>
        <v>67380.952380952382</v>
      </c>
      <c r="E5" s="66"/>
      <c r="F5" s="66"/>
      <c r="G5" s="66"/>
      <c r="H5" s="66">
        <f>MAX('🗂️ Ana Veri'!M2:M22)</f>
        <v>480000</v>
      </c>
      <c r="I5" s="66"/>
      <c r="J5" s="66"/>
      <c r="K5" s="66"/>
      <c r="L5" s="90">
        <f>COUNTIF('🗂️ Ana Veri'!O2:O22,"&gt;="&amp;70)/COUNTA('🗂️ Ana Veri'!O2:O22)</f>
        <v>0.76190476190476186</v>
      </c>
      <c r="M5" s="90"/>
      <c r="N5" s="90"/>
    </row>
    <row r="6" spans="1:14" ht="7.5" customHeight="1" x14ac:dyDescent="0.3">
      <c r="A6" s="92"/>
      <c r="B6" s="92"/>
      <c r="C6" s="92"/>
      <c r="D6" s="92"/>
      <c r="E6" s="92"/>
      <c r="F6" s="92"/>
      <c r="G6" s="67"/>
      <c r="H6" s="67"/>
      <c r="I6" s="67"/>
      <c r="K6" s="67"/>
      <c r="L6" s="67"/>
      <c r="M6" s="67"/>
    </row>
    <row r="7" spans="1:14" ht="9.75" customHeight="1" x14ac:dyDescent="0.3">
      <c r="A7" s="67"/>
      <c r="B7" s="67"/>
      <c r="C7" s="67"/>
      <c r="D7" s="67"/>
      <c r="E7" s="67"/>
      <c r="F7" s="67"/>
      <c r="G7" s="67"/>
      <c r="H7" s="67"/>
      <c r="I7" s="67"/>
      <c r="K7" s="67"/>
      <c r="L7" s="67"/>
      <c r="M7" s="67"/>
    </row>
    <row r="8" spans="1:14" ht="21.75" customHeight="1" x14ac:dyDescent="0.3">
      <c r="A8" s="91" t="s">
        <v>6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</row>
    <row r="9" spans="1:14" ht="24" customHeight="1" x14ac:dyDescent="0.3">
      <c r="A9" s="68" t="s">
        <v>7</v>
      </c>
      <c r="B9" s="68"/>
      <c r="C9" s="68"/>
      <c r="D9" s="68"/>
      <c r="E9" s="68" t="s">
        <v>8</v>
      </c>
      <c r="F9" s="68"/>
      <c r="G9" s="68"/>
      <c r="H9" s="68"/>
      <c r="I9" s="68" t="s">
        <v>9</v>
      </c>
      <c r="J9" s="68"/>
      <c r="K9" s="68"/>
      <c r="L9" s="68"/>
      <c r="M9" s="68" t="s">
        <v>10</v>
      </c>
      <c r="N9" s="68"/>
    </row>
    <row r="10" spans="1:14" ht="18" customHeight="1" x14ac:dyDescent="0.3">
      <c r="A10" s="69" t="s">
        <v>11</v>
      </c>
      <c r="B10" s="69"/>
      <c r="C10" s="69"/>
      <c r="D10" s="69"/>
      <c r="E10" s="70">
        <v>3</v>
      </c>
      <c r="F10" s="70"/>
      <c r="G10" s="70"/>
      <c r="H10" s="70"/>
      <c r="I10" s="71">
        <v>147800</v>
      </c>
      <c r="J10" s="71"/>
      <c r="K10" s="71"/>
      <c r="L10" s="71"/>
      <c r="M10" s="72">
        <v>75</v>
      </c>
      <c r="N10" s="72"/>
    </row>
    <row r="11" spans="1:14" ht="18" customHeight="1" x14ac:dyDescent="0.3">
      <c r="A11" s="73" t="s">
        <v>12</v>
      </c>
      <c r="B11" s="73"/>
      <c r="C11" s="73"/>
      <c r="D11" s="73"/>
      <c r="E11" s="74">
        <v>6</v>
      </c>
      <c r="F11" s="74"/>
      <c r="G11" s="74"/>
      <c r="H11" s="74"/>
      <c r="I11" s="75">
        <v>182500</v>
      </c>
      <c r="J11" s="75"/>
      <c r="K11" s="75"/>
      <c r="L11" s="75"/>
      <c r="M11" s="76">
        <v>86.3</v>
      </c>
      <c r="N11" s="76"/>
    </row>
    <row r="12" spans="1:14" ht="18" customHeight="1" x14ac:dyDescent="0.3">
      <c r="A12" s="69" t="s">
        <v>13</v>
      </c>
      <c r="B12" s="69"/>
      <c r="C12" s="69"/>
      <c r="D12" s="69"/>
      <c r="E12" s="70">
        <v>5</v>
      </c>
      <c r="F12" s="70"/>
      <c r="G12" s="70"/>
      <c r="H12" s="70"/>
      <c r="I12" s="71">
        <v>259600</v>
      </c>
      <c r="J12" s="71"/>
      <c r="K12" s="71"/>
      <c r="L12" s="71"/>
      <c r="M12" s="72">
        <v>74.8</v>
      </c>
      <c r="N12" s="72"/>
    </row>
    <row r="13" spans="1:14" ht="18" customHeight="1" x14ac:dyDescent="0.3">
      <c r="A13" s="73" t="s">
        <v>14</v>
      </c>
      <c r="B13" s="73"/>
      <c r="C13" s="73"/>
      <c r="D13" s="73"/>
      <c r="E13" s="74">
        <v>1</v>
      </c>
      <c r="F13" s="74"/>
      <c r="G13" s="74"/>
      <c r="H13" s="74"/>
      <c r="I13" s="75">
        <v>480000</v>
      </c>
      <c r="J13" s="75"/>
      <c r="K13" s="75"/>
      <c r="L13" s="75"/>
      <c r="M13" s="76">
        <v>91</v>
      </c>
      <c r="N13" s="76"/>
    </row>
    <row r="14" spans="1:14" ht="18" customHeight="1" x14ac:dyDescent="0.3">
      <c r="A14" s="69" t="s">
        <v>15</v>
      </c>
      <c r="B14" s="69"/>
      <c r="C14" s="69"/>
      <c r="D14" s="69"/>
      <c r="E14" s="70">
        <v>2</v>
      </c>
      <c r="F14" s="70"/>
      <c r="G14" s="70"/>
      <c r="H14" s="70"/>
      <c r="I14" s="71">
        <v>92800</v>
      </c>
      <c r="J14" s="71"/>
      <c r="K14" s="71"/>
      <c r="L14" s="71"/>
      <c r="M14" s="72">
        <v>86.5</v>
      </c>
      <c r="N14" s="72"/>
    </row>
    <row r="15" spans="1:14" ht="18" customHeight="1" x14ac:dyDescent="0.3">
      <c r="A15" s="73" t="s">
        <v>16</v>
      </c>
      <c r="B15" s="73"/>
      <c r="C15" s="73"/>
      <c r="D15" s="73"/>
      <c r="E15" s="74">
        <v>2</v>
      </c>
      <c r="F15" s="74"/>
      <c r="G15" s="74"/>
      <c r="H15" s="74"/>
      <c r="I15" s="75">
        <v>145000</v>
      </c>
      <c r="J15" s="75"/>
      <c r="K15" s="75"/>
      <c r="L15" s="75"/>
      <c r="M15" s="76">
        <v>93.5</v>
      </c>
      <c r="N15" s="76"/>
    </row>
    <row r="16" spans="1:14" ht="18" customHeight="1" x14ac:dyDescent="0.3">
      <c r="A16" s="69" t="s">
        <v>17</v>
      </c>
      <c r="B16" s="69"/>
      <c r="C16" s="69"/>
      <c r="D16" s="69"/>
      <c r="E16" s="70">
        <v>1</v>
      </c>
      <c r="F16" s="70"/>
      <c r="G16" s="70"/>
      <c r="H16" s="70"/>
      <c r="I16" s="71">
        <v>10000</v>
      </c>
      <c r="J16" s="71"/>
      <c r="K16" s="71"/>
      <c r="L16" s="71"/>
      <c r="M16" s="72">
        <v>72</v>
      </c>
      <c r="N16" s="72"/>
    </row>
    <row r="18" spans="1:3" x14ac:dyDescent="0.3">
      <c r="A18" s="82"/>
      <c r="B18" s="82"/>
      <c r="C18" s="82"/>
    </row>
    <row r="19" spans="1:3" x14ac:dyDescent="0.3">
      <c r="A19" s="83"/>
      <c r="B19" s="84"/>
      <c r="C19" s="83"/>
    </row>
    <row r="20" spans="1:3" x14ac:dyDescent="0.3">
      <c r="A20" s="85"/>
      <c r="B20" s="86"/>
      <c r="C20" s="83"/>
    </row>
    <row r="21" spans="1:3" x14ac:dyDescent="0.3">
      <c r="A21" s="85"/>
      <c r="B21" s="86"/>
      <c r="C21" s="83"/>
    </row>
    <row r="22" spans="1:3" x14ac:dyDescent="0.3">
      <c r="A22" s="85"/>
      <c r="B22" s="86"/>
      <c r="C22" s="83"/>
    </row>
    <row r="23" spans="1:3" x14ac:dyDescent="0.3">
      <c r="A23" s="85"/>
      <c r="B23" s="86"/>
      <c r="C23" s="83"/>
    </row>
    <row r="24" spans="1:3" x14ac:dyDescent="0.3">
      <c r="A24" s="85"/>
      <c r="B24" s="86"/>
      <c r="C24" s="83"/>
    </row>
    <row r="25" spans="1:3" x14ac:dyDescent="0.3">
      <c r="A25" s="85"/>
      <c r="B25" s="86"/>
      <c r="C25" s="83"/>
    </row>
    <row r="26" spans="1:3" x14ac:dyDescent="0.3">
      <c r="A26" s="85"/>
      <c r="B26" s="84"/>
      <c r="C26" s="83"/>
    </row>
    <row r="27" spans="1:3" x14ac:dyDescent="0.3">
      <c r="A27" s="87"/>
      <c r="B27" s="88"/>
      <c r="C27" s="83"/>
    </row>
    <row r="28" spans="1:3" x14ac:dyDescent="0.3">
      <c r="A28" s="83"/>
      <c r="B28" s="83"/>
      <c r="C28" s="83"/>
    </row>
    <row r="29" spans="1:3" x14ac:dyDescent="0.3">
      <c r="A29" s="89"/>
      <c r="B29" s="89"/>
      <c r="C29" s="89"/>
    </row>
  </sheetData>
  <mergeCells count="51">
    <mergeCell ref="A16:D16"/>
    <mergeCell ref="E16:H16"/>
    <mergeCell ref="I16:L16"/>
    <mergeCell ref="M16:N16"/>
    <mergeCell ref="A14:D14"/>
    <mergeCell ref="E14:H14"/>
    <mergeCell ref="I14:L14"/>
    <mergeCell ref="M14:N14"/>
    <mergeCell ref="A15:D15"/>
    <mergeCell ref="E15:H15"/>
    <mergeCell ref="I15:L15"/>
    <mergeCell ref="M15:N15"/>
    <mergeCell ref="A12:D12"/>
    <mergeCell ref="E12:H12"/>
    <mergeCell ref="I12:L12"/>
    <mergeCell ref="M12:N12"/>
    <mergeCell ref="A13:D13"/>
    <mergeCell ref="E13:H13"/>
    <mergeCell ref="I13:L13"/>
    <mergeCell ref="M13:N13"/>
    <mergeCell ref="A10:D10"/>
    <mergeCell ref="E10:H10"/>
    <mergeCell ref="I10:L10"/>
    <mergeCell ref="M10:N10"/>
    <mergeCell ref="A11:D11"/>
    <mergeCell ref="E11:H11"/>
    <mergeCell ref="I11:L11"/>
    <mergeCell ref="M11:N11"/>
    <mergeCell ref="A8:N8"/>
    <mergeCell ref="A9:D9"/>
    <mergeCell ref="E9:H9"/>
    <mergeCell ref="I9:L9"/>
    <mergeCell ref="M9:N9"/>
    <mergeCell ref="A6:C6"/>
    <mergeCell ref="D6:F6"/>
    <mergeCell ref="G6:I6"/>
    <mergeCell ref="K6:M6"/>
    <mergeCell ref="A7:C7"/>
    <mergeCell ref="D7:F7"/>
    <mergeCell ref="G7:I7"/>
    <mergeCell ref="K7:M7"/>
    <mergeCell ref="A1:N2"/>
    <mergeCell ref="A3:N3"/>
    <mergeCell ref="A5:C5"/>
    <mergeCell ref="D5:G5"/>
    <mergeCell ref="H5:K5"/>
    <mergeCell ref="L5:N5"/>
    <mergeCell ref="A4:C4"/>
    <mergeCell ref="D4:G4"/>
    <mergeCell ref="H4:K4"/>
    <mergeCell ref="L4:N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showGridLines="0" zoomScaleNormal="100" workbookViewId="0">
      <pane ySplit="1" topLeftCell="A2" activePane="bottomLeft" state="frozen"/>
      <selection pane="bottomLeft" activeCell="N15" sqref="N15"/>
    </sheetView>
  </sheetViews>
  <sheetFormatPr defaultColWidth="8.6640625" defaultRowHeight="14.4" x14ac:dyDescent="0.3"/>
  <cols>
    <col min="1" max="1" width="20" customWidth="1"/>
    <col min="2" max="2" width="14" customWidth="1"/>
    <col min="3" max="3" width="12" customWidth="1"/>
    <col min="4" max="4" width="8" customWidth="1"/>
    <col min="5" max="5" width="10" customWidth="1"/>
    <col min="6" max="6" width="16" customWidth="1"/>
    <col min="7" max="7" width="12" customWidth="1"/>
    <col min="8" max="8" width="14" customWidth="1"/>
    <col min="9" max="9" width="22" customWidth="1"/>
    <col min="10" max="10" width="16" customWidth="1"/>
    <col min="11" max="12" width="14" customWidth="1"/>
    <col min="13" max="14" width="18" customWidth="1"/>
    <col min="15" max="15" width="14" customWidth="1"/>
  </cols>
  <sheetData>
    <row r="1" spans="1:15" ht="31.5" customHeight="1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 ht="18" customHeight="1" x14ac:dyDescent="0.3">
      <c r="A2" s="2" t="s">
        <v>33</v>
      </c>
      <c r="B2" s="3">
        <v>29251</v>
      </c>
      <c r="C2" s="4" t="s">
        <v>34</v>
      </c>
      <c r="D2" s="4">
        <v>3</v>
      </c>
      <c r="E2" s="4" t="s">
        <v>35</v>
      </c>
      <c r="F2" s="2" t="s">
        <v>36</v>
      </c>
      <c r="G2" s="5">
        <v>10.3</v>
      </c>
      <c r="H2" s="4" t="s">
        <v>37</v>
      </c>
      <c r="I2" s="4" t="s">
        <v>12</v>
      </c>
      <c r="J2" s="2">
        <v>5322000001</v>
      </c>
      <c r="K2" s="6">
        <v>50000</v>
      </c>
      <c r="L2" s="4">
        <v>7</v>
      </c>
      <c r="M2" s="6">
        <v>35000</v>
      </c>
      <c r="N2" s="4" t="s">
        <v>38</v>
      </c>
      <c r="O2" s="4">
        <v>70</v>
      </c>
    </row>
    <row r="3" spans="1:15" ht="18" customHeight="1" x14ac:dyDescent="0.3">
      <c r="A3" s="7" t="s">
        <v>39</v>
      </c>
      <c r="B3" s="8">
        <v>32954</v>
      </c>
      <c r="C3" s="9" t="s">
        <v>34</v>
      </c>
      <c r="D3" s="9">
        <v>2</v>
      </c>
      <c r="E3" s="9" t="s">
        <v>40</v>
      </c>
      <c r="F3" s="7" t="s">
        <v>41</v>
      </c>
      <c r="G3" s="10">
        <v>8.6999999999999993</v>
      </c>
      <c r="H3" s="9" t="s">
        <v>42</v>
      </c>
      <c r="I3" s="9" t="s">
        <v>14</v>
      </c>
      <c r="J3" s="7">
        <v>5322000002</v>
      </c>
      <c r="K3" s="11">
        <v>70000</v>
      </c>
      <c r="L3" s="9">
        <v>12</v>
      </c>
      <c r="M3" s="11">
        <v>480000</v>
      </c>
      <c r="N3" s="9" t="s">
        <v>43</v>
      </c>
      <c r="O3" s="9">
        <v>91</v>
      </c>
    </row>
    <row r="4" spans="1:15" ht="18" customHeight="1" x14ac:dyDescent="0.3">
      <c r="A4" s="2" t="s">
        <v>44</v>
      </c>
      <c r="B4" s="3">
        <v>31074</v>
      </c>
      <c r="C4" s="4" t="s">
        <v>45</v>
      </c>
      <c r="D4" s="4">
        <v>5</v>
      </c>
      <c r="E4" s="4" t="s">
        <v>35</v>
      </c>
      <c r="F4" s="2" t="s">
        <v>46</v>
      </c>
      <c r="G4" s="5">
        <v>15.9</v>
      </c>
      <c r="H4" s="4" t="s">
        <v>47</v>
      </c>
      <c r="I4" s="4" t="s">
        <v>12</v>
      </c>
      <c r="J4" s="2">
        <v>5322000003</v>
      </c>
      <c r="K4" s="6">
        <v>120000</v>
      </c>
      <c r="L4" s="4">
        <v>0</v>
      </c>
      <c r="M4" s="6">
        <v>0</v>
      </c>
      <c r="N4" s="4"/>
      <c r="O4" s="4">
        <v>93</v>
      </c>
    </row>
    <row r="5" spans="1:15" ht="18" customHeight="1" x14ac:dyDescent="0.3">
      <c r="A5" s="7" t="s">
        <v>48</v>
      </c>
      <c r="B5" s="8">
        <v>30117</v>
      </c>
      <c r="C5" s="9" t="s">
        <v>49</v>
      </c>
      <c r="D5" s="9">
        <v>4</v>
      </c>
      <c r="E5" s="9" t="s">
        <v>35</v>
      </c>
      <c r="F5" s="7" t="s">
        <v>50</v>
      </c>
      <c r="G5" s="10">
        <v>18</v>
      </c>
      <c r="H5" s="9" t="s">
        <v>51</v>
      </c>
      <c r="I5" s="9" t="s">
        <v>11</v>
      </c>
      <c r="J5" s="7">
        <v>5322000004</v>
      </c>
      <c r="K5" s="11">
        <v>40000</v>
      </c>
      <c r="L5" s="9">
        <v>9</v>
      </c>
      <c r="M5" s="11">
        <v>45000</v>
      </c>
      <c r="N5" s="9" t="s">
        <v>52</v>
      </c>
      <c r="O5" s="9">
        <v>67</v>
      </c>
    </row>
    <row r="6" spans="1:15" ht="18" customHeight="1" x14ac:dyDescent="0.3">
      <c r="A6" s="2" t="s">
        <v>53</v>
      </c>
      <c r="B6" s="3">
        <v>34955</v>
      </c>
      <c r="C6" s="4" t="s">
        <v>34</v>
      </c>
      <c r="D6" s="4">
        <v>3</v>
      </c>
      <c r="E6" s="4" t="s">
        <v>40</v>
      </c>
      <c r="F6" s="2" t="s">
        <v>54</v>
      </c>
      <c r="G6" s="5">
        <v>7.12</v>
      </c>
      <c r="H6" s="4" t="s">
        <v>51</v>
      </c>
      <c r="I6" s="4" t="s">
        <v>11</v>
      </c>
      <c r="J6" s="2">
        <v>5322000005</v>
      </c>
      <c r="K6" s="6">
        <v>55000</v>
      </c>
      <c r="L6" s="4">
        <v>18</v>
      </c>
      <c r="M6" s="6">
        <v>95000</v>
      </c>
      <c r="N6" s="4" t="s">
        <v>52</v>
      </c>
      <c r="O6" s="4">
        <v>89</v>
      </c>
    </row>
    <row r="7" spans="1:15" ht="18" customHeight="1" x14ac:dyDescent="0.3">
      <c r="A7" s="7" t="s">
        <v>55</v>
      </c>
      <c r="B7" s="8">
        <v>36091</v>
      </c>
      <c r="C7" s="9" t="s">
        <v>34</v>
      </c>
      <c r="D7" s="9">
        <v>1</v>
      </c>
      <c r="E7" s="9" t="s">
        <v>40</v>
      </c>
      <c r="F7" s="7" t="s">
        <v>56</v>
      </c>
      <c r="G7" s="10">
        <v>3.7</v>
      </c>
      <c r="H7" s="9" t="s">
        <v>57</v>
      </c>
      <c r="I7" s="9" t="s">
        <v>17</v>
      </c>
      <c r="J7" s="7">
        <v>5322000006</v>
      </c>
      <c r="K7" s="11">
        <v>35000</v>
      </c>
      <c r="L7" s="9">
        <v>2</v>
      </c>
      <c r="M7" s="11">
        <v>10000</v>
      </c>
      <c r="N7" s="9" t="s">
        <v>38</v>
      </c>
      <c r="O7" s="9">
        <v>72</v>
      </c>
    </row>
    <row r="8" spans="1:15" ht="18" customHeight="1" x14ac:dyDescent="0.3">
      <c r="A8" s="2" t="s">
        <v>58</v>
      </c>
      <c r="B8" s="3">
        <v>31832</v>
      </c>
      <c r="C8" s="4" t="s">
        <v>49</v>
      </c>
      <c r="D8" s="4">
        <v>4</v>
      </c>
      <c r="E8" s="4" t="s">
        <v>40</v>
      </c>
      <c r="F8" s="2" t="s">
        <v>59</v>
      </c>
      <c r="G8" s="5">
        <v>19.52</v>
      </c>
      <c r="H8" s="4" t="s">
        <v>37</v>
      </c>
      <c r="I8" s="4" t="s">
        <v>12</v>
      </c>
      <c r="J8" s="2">
        <v>5322000007</v>
      </c>
      <c r="K8" s="6">
        <v>95000</v>
      </c>
      <c r="L8" s="4">
        <v>8</v>
      </c>
      <c r="M8" s="6">
        <v>67000</v>
      </c>
      <c r="N8" s="4" t="s">
        <v>43</v>
      </c>
      <c r="O8" s="4">
        <v>95</v>
      </c>
    </row>
    <row r="9" spans="1:15" ht="18" customHeight="1" x14ac:dyDescent="0.3">
      <c r="A9" s="7" t="s">
        <v>60</v>
      </c>
      <c r="B9" s="8">
        <v>29753</v>
      </c>
      <c r="C9" s="9" t="s">
        <v>34</v>
      </c>
      <c r="D9" s="9">
        <v>4</v>
      </c>
      <c r="E9" s="9" t="s">
        <v>35</v>
      </c>
      <c r="F9" s="7" t="s">
        <v>61</v>
      </c>
      <c r="G9" s="10">
        <v>21.1</v>
      </c>
      <c r="H9" s="9" t="s">
        <v>62</v>
      </c>
      <c r="I9" s="9" t="s">
        <v>13</v>
      </c>
      <c r="J9" s="7">
        <v>5322000008</v>
      </c>
      <c r="K9" s="11">
        <v>90000</v>
      </c>
      <c r="L9" s="9">
        <v>7</v>
      </c>
      <c r="M9" s="11">
        <v>56000</v>
      </c>
      <c r="N9" s="9" t="s">
        <v>38</v>
      </c>
      <c r="O9" s="9">
        <v>62</v>
      </c>
    </row>
    <row r="10" spans="1:15" ht="18" customHeight="1" x14ac:dyDescent="0.3">
      <c r="A10" s="2" t="s">
        <v>63</v>
      </c>
      <c r="B10" s="3">
        <v>36359</v>
      </c>
      <c r="C10" s="4" t="s">
        <v>34</v>
      </c>
      <c r="D10" s="4">
        <v>1</v>
      </c>
      <c r="E10" s="4" t="s">
        <v>35</v>
      </c>
      <c r="F10" s="2" t="s">
        <v>64</v>
      </c>
      <c r="G10" s="5">
        <v>4.2</v>
      </c>
      <c r="H10" s="4" t="s">
        <v>65</v>
      </c>
      <c r="I10" s="4" t="s">
        <v>15</v>
      </c>
      <c r="J10" s="2">
        <v>5322000009</v>
      </c>
      <c r="K10" s="6">
        <v>60000</v>
      </c>
      <c r="L10" s="4">
        <v>9</v>
      </c>
      <c r="M10" s="6">
        <v>72800</v>
      </c>
      <c r="N10" s="4" t="s">
        <v>52</v>
      </c>
      <c r="O10" s="4">
        <v>91</v>
      </c>
    </row>
    <row r="11" spans="1:15" ht="18" customHeight="1" x14ac:dyDescent="0.3">
      <c r="A11" s="7" t="s">
        <v>66</v>
      </c>
      <c r="B11" s="8">
        <v>33142</v>
      </c>
      <c r="C11" s="9" t="s">
        <v>49</v>
      </c>
      <c r="D11" s="9">
        <v>3</v>
      </c>
      <c r="E11" s="9" t="s">
        <v>35</v>
      </c>
      <c r="F11" s="7" t="s">
        <v>67</v>
      </c>
      <c r="G11" s="10">
        <v>7.8</v>
      </c>
      <c r="H11" s="9" t="s">
        <v>65</v>
      </c>
      <c r="I11" s="9" t="s">
        <v>12</v>
      </c>
      <c r="J11" s="7">
        <v>5322000010</v>
      </c>
      <c r="K11" s="11">
        <v>85000</v>
      </c>
      <c r="L11" s="9">
        <v>2</v>
      </c>
      <c r="M11" s="11">
        <v>5000</v>
      </c>
      <c r="N11" s="9" t="s">
        <v>43</v>
      </c>
      <c r="O11" s="9">
        <v>87</v>
      </c>
    </row>
    <row r="12" spans="1:15" ht="18" customHeight="1" x14ac:dyDescent="0.3">
      <c r="A12" s="2" t="s">
        <v>68</v>
      </c>
      <c r="B12" s="3">
        <v>32428</v>
      </c>
      <c r="C12" s="4" t="s">
        <v>49</v>
      </c>
      <c r="D12" s="4">
        <v>4</v>
      </c>
      <c r="E12" s="4" t="s">
        <v>40</v>
      </c>
      <c r="F12" s="2" t="s">
        <v>69</v>
      </c>
      <c r="G12" s="5">
        <v>17.54</v>
      </c>
      <c r="H12" s="4" t="s">
        <v>57</v>
      </c>
      <c r="I12" s="4" t="s">
        <v>16</v>
      </c>
      <c r="J12" s="2">
        <v>5322000011</v>
      </c>
      <c r="K12" s="6">
        <v>90000</v>
      </c>
      <c r="L12" s="4">
        <v>5</v>
      </c>
      <c r="M12" s="6">
        <v>50000</v>
      </c>
      <c r="N12" s="4" t="s">
        <v>38</v>
      </c>
      <c r="O12" s="4">
        <v>98</v>
      </c>
    </row>
    <row r="13" spans="1:15" ht="18" customHeight="1" x14ac:dyDescent="0.3">
      <c r="A13" s="7" t="s">
        <v>70</v>
      </c>
      <c r="B13" s="8">
        <v>33572</v>
      </c>
      <c r="C13" s="9" t="s">
        <v>34</v>
      </c>
      <c r="D13" s="9">
        <v>3</v>
      </c>
      <c r="E13" s="9" t="s">
        <v>40</v>
      </c>
      <c r="F13" s="7" t="s">
        <v>71</v>
      </c>
      <c r="G13" s="10">
        <v>3.6</v>
      </c>
      <c r="H13" s="9" t="s">
        <v>65</v>
      </c>
      <c r="I13" s="9" t="s">
        <v>15</v>
      </c>
      <c r="J13" s="7">
        <v>5322000012</v>
      </c>
      <c r="K13" s="11">
        <v>45000</v>
      </c>
      <c r="L13" s="9">
        <v>2</v>
      </c>
      <c r="M13" s="11">
        <v>20000</v>
      </c>
      <c r="N13" s="9" t="s">
        <v>52</v>
      </c>
      <c r="O13" s="9">
        <v>82</v>
      </c>
    </row>
    <row r="14" spans="1:15" ht="18" customHeight="1" x14ac:dyDescent="0.3">
      <c r="A14" s="2" t="s">
        <v>72</v>
      </c>
      <c r="B14" s="3">
        <v>36639</v>
      </c>
      <c r="C14" s="4" t="s">
        <v>34</v>
      </c>
      <c r="D14" s="4">
        <v>2</v>
      </c>
      <c r="E14" s="4" t="s">
        <v>40</v>
      </c>
      <c r="F14" s="2" t="s">
        <v>73</v>
      </c>
      <c r="G14" s="5">
        <v>1.98</v>
      </c>
      <c r="H14" s="4" t="s">
        <v>74</v>
      </c>
      <c r="I14" s="4" t="s">
        <v>12</v>
      </c>
      <c r="J14" s="2">
        <v>5322000013</v>
      </c>
      <c r="K14" s="6">
        <v>38000</v>
      </c>
      <c r="L14" s="4">
        <v>1</v>
      </c>
      <c r="M14" s="6">
        <v>60500</v>
      </c>
      <c r="N14" s="4" t="s">
        <v>52</v>
      </c>
      <c r="O14" s="4">
        <v>76</v>
      </c>
    </row>
    <row r="15" spans="1:15" ht="18" customHeight="1" x14ac:dyDescent="0.3">
      <c r="A15" s="7" t="s">
        <v>75</v>
      </c>
      <c r="B15" s="8">
        <v>28713</v>
      </c>
      <c r="C15" s="9" t="s">
        <v>45</v>
      </c>
      <c r="D15" s="9">
        <v>4</v>
      </c>
      <c r="E15" s="9" t="s">
        <v>40</v>
      </c>
      <c r="F15" s="7" t="s">
        <v>46</v>
      </c>
      <c r="G15" s="10">
        <v>21.75</v>
      </c>
      <c r="H15" s="9" t="s">
        <v>65</v>
      </c>
      <c r="I15" s="9" t="s">
        <v>12</v>
      </c>
      <c r="J15" s="7">
        <v>5322000015</v>
      </c>
      <c r="K15" s="11">
        <v>110000</v>
      </c>
      <c r="L15" s="9">
        <v>0</v>
      </c>
      <c r="M15" s="11">
        <v>0</v>
      </c>
      <c r="N15" s="9"/>
      <c r="O15" s="9">
        <v>87</v>
      </c>
    </row>
    <row r="16" spans="1:15" ht="18" customHeight="1" x14ac:dyDescent="0.3">
      <c r="A16" s="2" t="s">
        <v>76</v>
      </c>
      <c r="B16" s="3">
        <v>33568</v>
      </c>
      <c r="C16" s="4" t="s">
        <v>49</v>
      </c>
      <c r="D16" s="4">
        <v>4</v>
      </c>
      <c r="E16" s="4" t="s">
        <v>40</v>
      </c>
      <c r="F16" s="2" t="s">
        <v>77</v>
      </c>
      <c r="G16" s="5">
        <v>10.6</v>
      </c>
      <c r="H16" s="4" t="s">
        <v>74</v>
      </c>
      <c r="I16" s="4" t="s">
        <v>13</v>
      </c>
      <c r="J16" s="2">
        <v>5322000016</v>
      </c>
      <c r="K16" s="6">
        <v>75000</v>
      </c>
      <c r="L16" s="4">
        <v>9</v>
      </c>
      <c r="M16" s="6">
        <v>54300</v>
      </c>
      <c r="N16" s="4" t="s">
        <v>38</v>
      </c>
      <c r="O16" s="4">
        <v>77</v>
      </c>
    </row>
    <row r="17" spans="1:15" ht="18" customHeight="1" x14ac:dyDescent="0.3">
      <c r="A17" s="7" t="s">
        <v>78</v>
      </c>
      <c r="B17" s="8">
        <v>36797</v>
      </c>
      <c r="C17" s="9" t="s">
        <v>34</v>
      </c>
      <c r="D17" s="9">
        <v>2</v>
      </c>
      <c r="E17" s="9" t="s">
        <v>35</v>
      </c>
      <c r="F17" s="7" t="s">
        <v>61</v>
      </c>
      <c r="G17" s="10">
        <v>3</v>
      </c>
      <c r="H17" s="9" t="s">
        <v>42</v>
      </c>
      <c r="I17" s="9" t="s">
        <v>13</v>
      </c>
      <c r="J17" s="7">
        <v>5322000017</v>
      </c>
      <c r="K17" s="11">
        <v>42000</v>
      </c>
      <c r="L17" s="9">
        <v>7</v>
      </c>
      <c r="M17" s="11">
        <v>45600</v>
      </c>
      <c r="N17" s="9" t="s">
        <v>43</v>
      </c>
      <c r="O17" s="9">
        <v>65</v>
      </c>
    </row>
    <row r="18" spans="1:15" ht="18" customHeight="1" x14ac:dyDescent="0.3">
      <c r="A18" s="2" t="s">
        <v>79</v>
      </c>
      <c r="B18" s="3">
        <v>30455</v>
      </c>
      <c r="C18" s="4" t="s">
        <v>49</v>
      </c>
      <c r="D18" s="4">
        <v>4</v>
      </c>
      <c r="E18" s="4" t="s">
        <v>40</v>
      </c>
      <c r="F18" s="2" t="s">
        <v>80</v>
      </c>
      <c r="G18" s="5">
        <v>9.8000000000000007</v>
      </c>
      <c r="H18" s="4" t="s">
        <v>51</v>
      </c>
      <c r="I18" s="4" t="s">
        <v>11</v>
      </c>
      <c r="J18" s="2">
        <v>5322000018</v>
      </c>
      <c r="K18" s="6">
        <v>80000</v>
      </c>
      <c r="L18" s="4">
        <v>2</v>
      </c>
      <c r="M18" s="6">
        <v>7800</v>
      </c>
      <c r="N18" s="4" t="s">
        <v>43</v>
      </c>
      <c r="O18" s="4">
        <v>69</v>
      </c>
    </row>
    <row r="19" spans="1:15" ht="18" customHeight="1" x14ac:dyDescent="0.3">
      <c r="A19" s="7" t="s">
        <v>81</v>
      </c>
      <c r="B19" s="8">
        <v>36004</v>
      </c>
      <c r="C19" s="9" t="s">
        <v>34</v>
      </c>
      <c r="D19" s="9">
        <v>3</v>
      </c>
      <c r="E19" s="9" t="s">
        <v>40</v>
      </c>
      <c r="F19" s="7" t="s">
        <v>82</v>
      </c>
      <c r="G19" s="10">
        <v>8.9</v>
      </c>
      <c r="H19" s="9" t="s">
        <v>57</v>
      </c>
      <c r="I19" s="9" t="s">
        <v>16</v>
      </c>
      <c r="J19" s="7">
        <v>5322000019</v>
      </c>
      <c r="K19" s="11">
        <v>52000</v>
      </c>
      <c r="L19" s="9">
        <v>6</v>
      </c>
      <c r="M19" s="11">
        <v>78000</v>
      </c>
      <c r="N19" s="9" t="s">
        <v>52</v>
      </c>
      <c r="O19" s="9">
        <v>84</v>
      </c>
    </row>
    <row r="20" spans="1:15" ht="18" customHeight="1" x14ac:dyDescent="0.3">
      <c r="A20" s="2" t="s">
        <v>83</v>
      </c>
      <c r="B20" s="3">
        <v>31471</v>
      </c>
      <c r="C20" s="4" t="s">
        <v>49</v>
      </c>
      <c r="D20" s="4">
        <v>4</v>
      </c>
      <c r="E20" s="4" t="s">
        <v>35</v>
      </c>
      <c r="F20" s="2" t="s">
        <v>84</v>
      </c>
      <c r="G20" s="5">
        <v>17.3</v>
      </c>
      <c r="H20" s="4" t="s">
        <v>47</v>
      </c>
      <c r="I20" s="4" t="s">
        <v>13</v>
      </c>
      <c r="J20" s="2">
        <v>5322000020</v>
      </c>
      <c r="K20" s="6">
        <v>95000</v>
      </c>
      <c r="L20" s="4">
        <v>9</v>
      </c>
      <c r="M20" s="6">
        <v>102000</v>
      </c>
      <c r="N20" s="4" t="s">
        <v>38</v>
      </c>
      <c r="O20" s="4">
        <v>97</v>
      </c>
    </row>
    <row r="21" spans="1:15" ht="18" customHeight="1" x14ac:dyDescent="0.3">
      <c r="A21" s="7" t="s">
        <v>85</v>
      </c>
      <c r="B21" s="8">
        <v>34072</v>
      </c>
      <c r="C21" s="9" t="s">
        <v>34</v>
      </c>
      <c r="D21" s="9">
        <v>3</v>
      </c>
      <c r="E21" s="9" t="s">
        <v>35</v>
      </c>
      <c r="F21" s="7" t="s">
        <v>86</v>
      </c>
      <c r="G21" s="10">
        <v>7.4</v>
      </c>
      <c r="H21" s="9" t="s">
        <v>87</v>
      </c>
      <c r="I21" s="9" t="s">
        <v>13</v>
      </c>
      <c r="J21" s="7">
        <v>5322000021</v>
      </c>
      <c r="K21" s="11">
        <v>48000</v>
      </c>
      <c r="L21" s="9">
        <v>1</v>
      </c>
      <c r="M21" s="11">
        <v>650</v>
      </c>
      <c r="N21" s="9" t="s">
        <v>43</v>
      </c>
      <c r="O21" s="9">
        <v>57</v>
      </c>
    </row>
    <row r="22" spans="1:15" ht="18" customHeight="1" x14ac:dyDescent="0.3">
      <c r="A22" s="2" t="s">
        <v>88</v>
      </c>
      <c r="B22" s="3">
        <v>36271</v>
      </c>
      <c r="C22" s="4" t="s">
        <v>34</v>
      </c>
      <c r="D22" s="4">
        <v>2</v>
      </c>
      <c r="E22" s="4" t="s">
        <v>40</v>
      </c>
      <c r="F22" s="2" t="s">
        <v>77</v>
      </c>
      <c r="G22" s="5">
        <v>3.7</v>
      </c>
      <c r="H22" s="4" t="s">
        <v>74</v>
      </c>
      <c r="I22" s="4" t="s">
        <v>13</v>
      </c>
      <c r="J22" s="2">
        <v>5322000022</v>
      </c>
      <c r="K22" s="6">
        <v>40000</v>
      </c>
      <c r="L22" s="4">
        <v>4</v>
      </c>
      <c r="M22" s="6">
        <v>56050</v>
      </c>
      <c r="N22" s="4" t="s">
        <v>52</v>
      </c>
      <c r="O22" s="4">
        <v>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topLeftCell="B1" zoomScaleNormal="100" workbookViewId="0">
      <selection activeCell="D14" sqref="D14"/>
    </sheetView>
  </sheetViews>
  <sheetFormatPr defaultColWidth="8.6640625" defaultRowHeight="14.4" x14ac:dyDescent="0.3"/>
  <cols>
    <col min="1" max="2" width="18" customWidth="1"/>
    <col min="3" max="4" width="20" customWidth="1"/>
    <col min="5" max="6" width="25" customWidth="1"/>
  </cols>
  <sheetData>
    <row r="1" spans="1:6" ht="27.75" customHeight="1" x14ac:dyDescent="0.3">
      <c r="A1" s="61" t="s">
        <v>89</v>
      </c>
      <c r="B1" s="61"/>
      <c r="C1" s="61"/>
      <c r="D1" s="61"/>
      <c r="E1" s="61"/>
      <c r="F1" s="61"/>
    </row>
    <row r="2" spans="1:6" ht="18" customHeight="1" x14ac:dyDescent="0.3">
      <c r="A2" s="62" t="s">
        <v>90</v>
      </c>
      <c r="B2" s="62"/>
      <c r="C2" s="62"/>
      <c r="D2" s="62"/>
      <c r="E2" s="62"/>
      <c r="F2" s="62"/>
    </row>
    <row r="3" spans="1:6" ht="15" customHeight="1" x14ac:dyDescent="0.3">
      <c r="A3" s="12" t="s">
        <v>91</v>
      </c>
      <c r="B3" s="12" t="s">
        <v>92</v>
      </c>
      <c r="C3" s="12" t="s">
        <v>93</v>
      </c>
      <c r="D3" s="12" t="s">
        <v>94</v>
      </c>
      <c r="E3" s="12" t="s">
        <v>95</v>
      </c>
      <c r="F3" s="12" t="s">
        <v>96</v>
      </c>
    </row>
    <row r="4" spans="1:6" ht="20.25" customHeight="1" x14ac:dyDescent="0.3">
      <c r="A4" s="13" t="s">
        <v>97</v>
      </c>
      <c r="B4" s="13" t="s">
        <v>98</v>
      </c>
      <c r="C4" s="14" t="str">
        <f t="shared" ref="C4:D9" si="0">PROPER(TRIM(A4))</f>
        <v>Şeyma</v>
      </c>
      <c r="D4" s="14" t="str">
        <f t="shared" si="0"/>
        <v>Kadı</v>
      </c>
      <c r="E4" s="15" t="str">
        <f>C4&amp;" "&amp;D4</f>
        <v>Şeyma Kadı</v>
      </c>
      <c r="F4" s="16" t="s">
        <v>99</v>
      </c>
    </row>
    <row r="5" spans="1:6" ht="20.25" customHeight="1" x14ac:dyDescent="0.3">
      <c r="A5" s="17" t="s">
        <v>100</v>
      </c>
      <c r="B5" s="17" t="s">
        <v>101</v>
      </c>
      <c r="C5" s="18" t="str">
        <f t="shared" si="0"/>
        <v>Aslıhan</v>
      </c>
      <c r="D5" s="18" t="str">
        <f t="shared" si="0"/>
        <v>Güneş</v>
      </c>
      <c r="E5" s="19" t="str">
        <f t="shared" ref="E5:E9" si="1">C5&amp;" "&amp;D5</f>
        <v>Aslıhan Güneş</v>
      </c>
      <c r="F5" s="16" t="s">
        <v>99</v>
      </c>
    </row>
    <row r="6" spans="1:6" ht="20.25" customHeight="1" x14ac:dyDescent="0.3">
      <c r="A6" s="13" t="s">
        <v>203</v>
      </c>
      <c r="B6" s="13" t="s">
        <v>102</v>
      </c>
      <c r="C6" s="14" t="str">
        <f t="shared" si="0"/>
        <v>Mert</v>
      </c>
      <c r="D6" s="14" t="str">
        <f t="shared" si="0"/>
        <v>Yazı</v>
      </c>
      <c r="E6" s="15" t="str">
        <f t="shared" si="1"/>
        <v>Mert Yazı</v>
      </c>
      <c r="F6" s="16" t="s">
        <v>99</v>
      </c>
    </row>
    <row r="7" spans="1:6" ht="20.25" customHeight="1" x14ac:dyDescent="0.3">
      <c r="A7" s="17" t="s">
        <v>190</v>
      </c>
      <c r="B7" s="17" t="s">
        <v>103</v>
      </c>
      <c r="C7" s="18" t="str">
        <f t="shared" si="0"/>
        <v>Kenan</v>
      </c>
      <c r="D7" s="18" t="str">
        <f t="shared" si="0"/>
        <v>Bar</v>
      </c>
      <c r="E7" s="19" t="str">
        <f t="shared" si="1"/>
        <v>Kenan Bar</v>
      </c>
      <c r="F7" s="16" t="s">
        <v>99</v>
      </c>
    </row>
    <row r="8" spans="1:6" ht="20.25" customHeight="1" x14ac:dyDescent="0.3">
      <c r="A8" s="13" t="s">
        <v>104</v>
      </c>
      <c r="B8" s="13" t="s">
        <v>105</v>
      </c>
      <c r="C8" s="14" t="str">
        <f t="shared" si="0"/>
        <v>Pınar</v>
      </c>
      <c r="D8" s="14" t="str">
        <f t="shared" si="0"/>
        <v>Yeşilyurt</v>
      </c>
      <c r="E8" s="15" t="str">
        <f t="shared" si="1"/>
        <v>Pınar Yeşilyurt</v>
      </c>
      <c r="F8" s="16" t="s">
        <v>99</v>
      </c>
    </row>
    <row r="9" spans="1:6" ht="20.25" customHeight="1" x14ac:dyDescent="0.3">
      <c r="A9" s="17" t="s">
        <v>106</v>
      </c>
      <c r="B9" s="17" t="s">
        <v>107</v>
      </c>
      <c r="C9" s="18" t="str">
        <f t="shared" si="0"/>
        <v>Samı</v>
      </c>
      <c r="D9" s="18" t="str">
        <f t="shared" si="0"/>
        <v>Kırgız</v>
      </c>
      <c r="E9" s="19" t="str">
        <f t="shared" si="1"/>
        <v>Samı Kırgız</v>
      </c>
      <c r="F9" s="16" t="s">
        <v>99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showGridLines="0" zoomScaleNormal="100" workbookViewId="0">
      <selection activeCell="G7" sqref="G7"/>
    </sheetView>
  </sheetViews>
  <sheetFormatPr defaultColWidth="8.6640625" defaultRowHeight="14.4" x14ac:dyDescent="0.3"/>
  <cols>
    <col min="1" max="1" width="20" customWidth="1"/>
    <col min="2" max="4" width="18" customWidth="1"/>
    <col min="5" max="5" width="20" customWidth="1"/>
    <col min="6" max="6" width="15" customWidth="1"/>
    <col min="7" max="7" width="20" customWidth="1"/>
  </cols>
  <sheetData>
    <row r="1" spans="1:7" ht="27.75" customHeight="1" x14ac:dyDescent="0.3">
      <c r="A1" s="77" t="s">
        <v>108</v>
      </c>
      <c r="B1" s="77"/>
      <c r="C1" s="77"/>
      <c r="D1" s="77"/>
      <c r="E1" s="77"/>
      <c r="F1" s="77"/>
      <c r="G1" s="77"/>
    </row>
    <row r="2" spans="1:7" ht="15" customHeight="1" x14ac:dyDescent="0.3">
      <c r="A2" s="78" t="s">
        <v>109</v>
      </c>
      <c r="B2" s="78"/>
      <c r="C2" s="78"/>
      <c r="D2" s="78"/>
      <c r="E2" s="78"/>
      <c r="F2" s="78"/>
      <c r="G2" s="78"/>
    </row>
    <row r="3" spans="1:7" ht="15" customHeight="1" x14ac:dyDescent="0.3">
      <c r="A3" s="20" t="s">
        <v>110</v>
      </c>
      <c r="B3" s="20" t="s">
        <v>111</v>
      </c>
      <c r="C3" s="20" t="s">
        <v>28</v>
      </c>
      <c r="D3" s="20" t="s">
        <v>112</v>
      </c>
      <c r="E3" s="20" t="s">
        <v>113</v>
      </c>
      <c r="F3" s="20" t="s">
        <v>114</v>
      </c>
      <c r="G3" s="20" t="s">
        <v>115</v>
      </c>
    </row>
    <row r="4" spans="1:7" ht="15" customHeight="1" x14ac:dyDescent="0.3">
      <c r="A4" s="2" t="s">
        <v>116</v>
      </c>
      <c r="B4" s="2" t="s">
        <v>117</v>
      </c>
      <c r="C4" s="21">
        <v>30000</v>
      </c>
      <c r="D4" s="22">
        <v>0.12</v>
      </c>
      <c r="E4" s="23">
        <f>ROUND(C4*(1+D4),2)</f>
        <v>33600</v>
      </c>
      <c r="F4" s="24">
        <f>ROUND(E4-C4,2)</f>
        <v>3600</v>
      </c>
      <c r="G4" s="4" t="str">
        <f>IF(D4&gt;=0.15,"⭐ Yüksek Zam","Normal Zam")</f>
        <v>Normal Zam</v>
      </c>
    </row>
    <row r="5" spans="1:7" ht="15" customHeight="1" x14ac:dyDescent="0.3">
      <c r="A5" s="7" t="s">
        <v>118</v>
      </c>
      <c r="B5" s="7" t="s">
        <v>119</v>
      </c>
      <c r="C5" s="25">
        <v>40000</v>
      </c>
      <c r="D5" s="26">
        <v>0.14000000000000001</v>
      </c>
      <c r="E5" s="23">
        <f t="shared" ref="E5:E8" si="0">ROUND(C5*(1+D5),2)</f>
        <v>45600</v>
      </c>
      <c r="F5" s="24">
        <f>ROUND(E5-C5,2)</f>
        <v>5600</v>
      </c>
      <c r="G5" s="9" t="str">
        <f>IF(D5&gt;=0.15,"⭐ Yüksek Zam","Normal Zam")</f>
        <v>Normal Zam</v>
      </c>
    </row>
    <row r="6" spans="1:7" ht="15" customHeight="1" x14ac:dyDescent="0.3">
      <c r="A6" s="2" t="s">
        <v>120</v>
      </c>
      <c r="B6" s="2" t="s">
        <v>121</v>
      </c>
      <c r="C6" s="21">
        <v>34000</v>
      </c>
      <c r="D6" s="22">
        <v>0.17</v>
      </c>
      <c r="E6" s="23">
        <f t="shared" si="0"/>
        <v>39780</v>
      </c>
      <c r="F6" s="24">
        <f t="shared" ref="F5:F8" si="1">ROUND(E6-C6,2)</f>
        <v>5780</v>
      </c>
      <c r="G6" s="4" t="str">
        <f>IF(D6&gt;=0.15,"⭐ Yüksek Zam","Normal Zam")</f>
        <v>⭐ Yüksek Zam</v>
      </c>
    </row>
    <row r="7" spans="1:7" ht="15" customHeight="1" x14ac:dyDescent="0.3">
      <c r="A7" s="7" t="s">
        <v>121</v>
      </c>
      <c r="B7" s="7" t="s">
        <v>122</v>
      </c>
      <c r="C7" s="25">
        <v>45000</v>
      </c>
      <c r="D7" s="26">
        <v>0.1</v>
      </c>
      <c r="E7" s="23">
        <f t="shared" si="0"/>
        <v>49500</v>
      </c>
      <c r="F7" s="24">
        <f t="shared" si="1"/>
        <v>4500</v>
      </c>
      <c r="G7" s="9" t="str">
        <f>IF(D7&gt;=0.15,"⭐ Yüksek Zam","Normal Zam")</f>
        <v>Normal Zam</v>
      </c>
    </row>
    <row r="8" spans="1:7" ht="15" customHeight="1" x14ac:dyDescent="0.3">
      <c r="A8" s="2" t="s">
        <v>123</v>
      </c>
      <c r="B8" s="2" t="s">
        <v>124</v>
      </c>
      <c r="C8" s="21">
        <v>55000</v>
      </c>
      <c r="D8" s="22">
        <v>0.15</v>
      </c>
      <c r="E8" s="23">
        <f t="shared" si="0"/>
        <v>63250</v>
      </c>
      <c r="F8" s="24">
        <f t="shared" si="1"/>
        <v>8250</v>
      </c>
      <c r="G8" s="4" t="str">
        <f>IF(D8&gt;=0.15,"⭐ Yüksek Zam","Normal Zam")</f>
        <v>⭐ Yüksek Zam</v>
      </c>
    </row>
    <row r="10" spans="1:7" ht="15" customHeight="1" x14ac:dyDescent="0.3">
      <c r="A10" s="78" t="s">
        <v>125</v>
      </c>
      <c r="B10" s="78"/>
      <c r="C10" s="78"/>
      <c r="D10" s="78"/>
      <c r="E10" s="78"/>
      <c r="F10" s="78"/>
      <c r="G10" s="78"/>
    </row>
    <row r="11" spans="1:7" ht="15" customHeight="1" x14ac:dyDescent="0.3">
      <c r="A11" s="20" t="s">
        <v>26</v>
      </c>
      <c r="B11" s="20" t="s">
        <v>126</v>
      </c>
      <c r="C11" s="20" t="s">
        <v>127</v>
      </c>
      <c r="D11" s="20" t="s">
        <v>128</v>
      </c>
      <c r="E11" s="20" t="s">
        <v>115</v>
      </c>
    </row>
    <row r="12" spans="1:7" ht="15" customHeight="1" x14ac:dyDescent="0.3">
      <c r="A12" s="4" t="s">
        <v>11</v>
      </c>
      <c r="B12" s="4">
        <v>3000</v>
      </c>
      <c r="C12" s="4">
        <v>4000</v>
      </c>
      <c r="D12" s="27">
        <f>(C12-B12)/B12</f>
        <v>0.33333333333333331</v>
      </c>
      <c r="E12" s="4" t="str">
        <f>IF(D12&gt;0,"📈 Artış","📉 Düşüş")</f>
        <v>📈 Artış</v>
      </c>
    </row>
    <row r="13" spans="1:7" ht="15" customHeight="1" x14ac:dyDescent="0.3">
      <c r="A13" s="9" t="s">
        <v>12</v>
      </c>
      <c r="B13" s="9">
        <v>5000</v>
      </c>
      <c r="C13" s="9">
        <v>5800</v>
      </c>
      <c r="D13" s="28">
        <f>(C13-B13)/B13</f>
        <v>0.16</v>
      </c>
      <c r="E13" s="9" t="str">
        <f>IF(D13&gt;0,"📈 Artış","📉 Düşüş")</f>
        <v>📈 Artış</v>
      </c>
    </row>
    <row r="14" spans="1:7" ht="15" customHeight="1" x14ac:dyDescent="0.3">
      <c r="A14" s="4" t="s">
        <v>13</v>
      </c>
      <c r="B14" s="4">
        <v>2500</v>
      </c>
      <c r="C14" s="4">
        <v>3200</v>
      </c>
      <c r="D14" s="27">
        <f>(C14-B14)/B14</f>
        <v>0.28000000000000003</v>
      </c>
      <c r="E14" s="4" t="str">
        <f>IF(D14&gt;0,"📈 Artış","📉 Düşüş")</f>
        <v>📈 Artış</v>
      </c>
    </row>
    <row r="15" spans="1:7" ht="15" customHeight="1" x14ac:dyDescent="0.3">
      <c r="A15" s="9" t="s">
        <v>14</v>
      </c>
      <c r="B15" s="9">
        <v>3500</v>
      </c>
      <c r="C15" s="9">
        <v>3100</v>
      </c>
      <c r="D15" s="28">
        <f>(C15-B15)/B15</f>
        <v>-0.11428571428571428</v>
      </c>
      <c r="E15" s="9" t="str">
        <f>IF(D15&gt;0,"📈 Artış","📉 Düşüş")</f>
        <v>📉 Düşüş</v>
      </c>
    </row>
    <row r="16" spans="1:7" ht="15" customHeight="1" x14ac:dyDescent="0.3">
      <c r="A16" s="4" t="s">
        <v>16</v>
      </c>
      <c r="B16" s="4">
        <v>1800</v>
      </c>
      <c r="C16" s="4">
        <v>2400</v>
      </c>
      <c r="D16" s="27">
        <f>(C16-B16)/B16</f>
        <v>0.33333333333333331</v>
      </c>
      <c r="E16" s="4" t="str">
        <f>IF(D16&gt;0,"📈 Artış","📉 Düşüş")</f>
        <v>📈 Artış</v>
      </c>
    </row>
    <row r="18" spans="1:7" ht="15" customHeight="1" x14ac:dyDescent="0.3">
      <c r="A18" s="78" t="s">
        <v>129</v>
      </c>
      <c r="B18" s="78"/>
      <c r="C18" s="78"/>
      <c r="D18" s="78"/>
      <c r="E18" s="78"/>
      <c r="F18" s="78"/>
      <c r="G18" s="78"/>
    </row>
    <row r="19" spans="1:7" ht="15" customHeight="1" x14ac:dyDescent="0.3">
      <c r="A19" s="20" t="s">
        <v>130</v>
      </c>
      <c r="B19" s="20" t="s">
        <v>131</v>
      </c>
      <c r="C19" s="20" t="s">
        <v>132</v>
      </c>
      <c r="D19" s="20" t="s">
        <v>133</v>
      </c>
      <c r="E19" s="20" t="s">
        <v>134</v>
      </c>
    </row>
    <row r="20" spans="1:7" ht="15" customHeight="1" x14ac:dyDescent="0.3">
      <c r="A20" s="4" t="s">
        <v>33</v>
      </c>
      <c r="B20" s="29">
        <v>0.375</v>
      </c>
      <c r="C20" s="29">
        <v>0.72916666666666696</v>
      </c>
      <c r="D20" s="30">
        <f>MOD(C20-B20,1)</f>
        <v>0.35416666666666696</v>
      </c>
      <c r="E20" s="4" t="str">
        <f>IF(D20&gt;TIME(8,0,0),"⭐ Mesaili","Normal")</f>
        <v>⭐ Mesaili</v>
      </c>
    </row>
    <row r="21" spans="1:7" ht="15" customHeight="1" x14ac:dyDescent="0.3">
      <c r="A21" s="9" t="s">
        <v>39</v>
      </c>
      <c r="B21" s="31">
        <v>0.35416666666666702</v>
      </c>
      <c r="C21" s="31">
        <v>0.75</v>
      </c>
      <c r="D21" s="32">
        <f>MOD(C21-B21,1)</f>
        <v>0.39583333333333298</v>
      </c>
      <c r="E21" s="9" t="str">
        <f>IF(D21&gt;TIME(8,0,0),"⭐ Mesaili","Normal")</f>
        <v>⭐ Mesaili</v>
      </c>
    </row>
    <row r="22" spans="1:7" ht="15" customHeight="1" x14ac:dyDescent="0.3">
      <c r="A22" s="4" t="s">
        <v>44</v>
      </c>
      <c r="B22" s="29">
        <v>0.41666666666666702</v>
      </c>
      <c r="C22" s="29">
        <v>5.2083333333333301E-2</v>
      </c>
      <c r="D22" s="30">
        <f>MOD(C22-B22,1)</f>
        <v>0.6354166666666663</v>
      </c>
      <c r="E22" s="4" t="str">
        <f>IF(D22&gt;TIME(8,0,0),"⭐ Mesaili","Normal")</f>
        <v>⭐ Mesaili</v>
      </c>
    </row>
    <row r="23" spans="1:7" ht="15" customHeight="1" x14ac:dyDescent="0.3">
      <c r="A23" s="9" t="s">
        <v>58</v>
      </c>
      <c r="B23" s="31">
        <v>0.375</v>
      </c>
      <c r="C23" s="31">
        <v>0.83333333333333304</v>
      </c>
      <c r="D23" s="32">
        <f>MOD(C23-B23,1)</f>
        <v>0.45833333333333304</v>
      </c>
      <c r="E23" s="9" t="str">
        <f>IF(D23&gt;TIME(8,0,0),"⭐ Mesaili","Normal")</f>
        <v>⭐ Mesaili</v>
      </c>
    </row>
    <row r="24" spans="1:7" ht="15" customHeight="1" x14ac:dyDescent="0.3">
      <c r="A24" s="4" t="s">
        <v>83</v>
      </c>
      <c r="B24" s="29">
        <v>0.33333333333333298</v>
      </c>
      <c r="C24" s="29">
        <v>0.70833333333333304</v>
      </c>
      <c r="D24" s="30">
        <f>MOD(C24-B24,1)</f>
        <v>0.37500000000000006</v>
      </c>
      <c r="E24" s="4" t="str">
        <f>IF(D24&gt;TIME(8,0,0),"⭐ Mesaili","Normal")</f>
        <v>⭐ Mesaili</v>
      </c>
    </row>
  </sheetData>
  <mergeCells count="4">
    <mergeCell ref="A1:G1"/>
    <mergeCell ref="A2:G2"/>
    <mergeCell ref="A10:G10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showGridLines="0" zoomScaleNormal="100" workbookViewId="0">
      <selection sqref="A1:L1"/>
    </sheetView>
  </sheetViews>
  <sheetFormatPr defaultColWidth="8.6640625" defaultRowHeight="14.4" x14ac:dyDescent="0.3"/>
  <cols>
    <col min="1" max="1" width="15" customWidth="1"/>
    <col min="2" max="2" width="20" customWidth="1"/>
    <col min="3" max="3" width="12" customWidth="1"/>
    <col min="4" max="4" width="14" customWidth="1"/>
    <col min="5" max="5" width="10" customWidth="1"/>
    <col min="6" max="6" width="14" customWidth="1"/>
    <col min="7" max="7" width="5" customWidth="1"/>
    <col min="8" max="8" width="18" customWidth="1"/>
    <col min="9" max="9" width="20" customWidth="1"/>
    <col min="10" max="10" width="15" customWidth="1"/>
    <col min="11" max="12" width="16" customWidth="1"/>
  </cols>
  <sheetData>
    <row r="1" spans="1:12" ht="27.75" customHeight="1" x14ac:dyDescent="0.3">
      <c r="A1" s="77" t="s">
        <v>135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15" customHeight="1" x14ac:dyDescent="0.3">
      <c r="A2" s="78" t="s">
        <v>136</v>
      </c>
      <c r="B2" s="78"/>
      <c r="C2" s="78"/>
      <c r="D2" s="78"/>
      <c r="E2" s="78"/>
      <c r="F2" s="78"/>
      <c r="H2" s="79" t="s">
        <v>137</v>
      </c>
      <c r="I2" s="79"/>
      <c r="J2" s="79"/>
      <c r="K2" s="79"/>
      <c r="L2" s="79"/>
    </row>
    <row r="3" spans="1:12" ht="23.25" customHeight="1" x14ac:dyDescent="0.3">
      <c r="A3" s="20" t="s">
        <v>138</v>
      </c>
      <c r="B3" s="20" t="s">
        <v>18</v>
      </c>
      <c r="C3" s="20" t="s">
        <v>20</v>
      </c>
      <c r="D3" s="20" t="s">
        <v>139</v>
      </c>
      <c r="E3" s="20" t="s">
        <v>140</v>
      </c>
      <c r="F3" s="20" t="s">
        <v>7</v>
      </c>
      <c r="H3" s="33" t="s">
        <v>141</v>
      </c>
      <c r="I3" s="33" t="s">
        <v>142</v>
      </c>
      <c r="J3" s="33" t="s">
        <v>143</v>
      </c>
      <c r="K3" s="33" t="s">
        <v>144</v>
      </c>
      <c r="L3" s="33" t="s">
        <v>145</v>
      </c>
    </row>
    <row r="4" spans="1:12" ht="15" customHeight="1" x14ac:dyDescent="0.3">
      <c r="A4" s="4">
        <v>5322000001</v>
      </c>
      <c r="B4" s="4" t="s">
        <v>33</v>
      </c>
      <c r="C4" s="4" t="s">
        <v>34</v>
      </c>
      <c r="D4" s="4" t="s">
        <v>36</v>
      </c>
      <c r="E4" s="4">
        <v>10.3</v>
      </c>
      <c r="F4" s="4" t="s">
        <v>37</v>
      </c>
      <c r="H4" s="34">
        <v>5322000001</v>
      </c>
      <c r="I4" s="35" t="str">
        <f t="shared" ref="I4:I14" si="0">VLOOKUP(H4,$A$4:$F$14,4,0)</f>
        <v>Balıkesir</v>
      </c>
      <c r="J4" s="35">
        <f t="shared" ref="J4:J14" si="1">VLOOKUP(H4,$A$4:$F$14,5,0)</f>
        <v>10.3</v>
      </c>
      <c r="K4" s="35" t="str">
        <f t="shared" ref="K4:K14" si="2">VLOOKUP(H4,$A$4:$F$14,3,0)</f>
        <v>Uzman</v>
      </c>
      <c r="L4" s="35" t="str">
        <f t="shared" ref="L4:L14" si="3">VLOOKUP(H4,$A$4:$F$14,6,0)</f>
        <v>HR</v>
      </c>
    </row>
    <row r="5" spans="1:12" ht="15" customHeight="1" x14ac:dyDescent="0.3">
      <c r="A5" s="9">
        <v>5322000002</v>
      </c>
      <c r="B5" s="9" t="s">
        <v>39</v>
      </c>
      <c r="C5" s="9" t="s">
        <v>34</v>
      </c>
      <c r="D5" s="9" t="s">
        <v>41</v>
      </c>
      <c r="E5" s="9">
        <v>8.6999999999999993</v>
      </c>
      <c r="F5" s="9" t="s">
        <v>42</v>
      </c>
      <c r="H5" s="34">
        <v>5322000002</v>
      </c>
      <c r="I5" s="36" t="str">
        <f t="shared" si="0"/>
        <v>İzmir</v>
      </c>
      <c r="J5" s="36">
        <f t="shared" si="1"/>
        <v>8.6999999999999993</v>
      </c>
      <c r="K5" s="36" t="str">
        <f t="shared" si="2"/>
        <v>Uzman</v>
      </c>
      <c r="L5" s="36" t="str">
        <f t="shared" si="3"/>
        <v>FN</v>
      </c>
    </row>
    <row r="6" spans="1:12" ht="15" customHeight="1" x14ac:dyDescent="0.3">
      <c r="A6" s="4">
        <v>5322000003</v>
      </c>
      <c r="B6" s="4" t="s">
        <v>44</v>
      </c>
      <c r="C6" s="4" t="s">
        <v>45</v>
      </c>
      <c r="D6" s="4" t="s">
        <v>46</v>
      </c>
      <c r="E6" s="4">
        <v>15.9</v>
      </c>
      <c r="F6" s="4" t="s">
        <v>47</v>
      </c>
      <c r="H6" s="34">
        <v>5322000003</v>
      </c>
      <c r="I6" s="35" t="str">
        <f t="shared" si="0"/>
        <v>İstanbul</v>
      </c>
      <c r="J6" s="35">
        <f t="shared" si="1"/>
        <v>15.9</v>
      </c>
      <c r="K6" s="35" t="str">
        <f t="shared" si="2"/>
        <v>Direktör</v>
      </c>
      <c r="L6" s="35" t="str">
        <f t="shared" si="3"/>
        <v>Audit</v>
      </c>
    </row>
    <row r="7" spans="1:12" ht="15" customHeight="1" x14ac:dyDescent="0.3">
      <c r="A7" s="9">
        <v>5322000004</v>
      </c>
      <c r="B7" s="9" t="s">
        <v>48</v>
      </c>
      <c r="C7" s="9" t="s">
        <v>49</v>
      </c>
      <c r="D7" s="9" t="s">
        <v>50</v>
      </c>
      <c r="E7" s="9">
        <v>18</v>
      </c>
      <c r="F7" s="9" t="s">
        <v>51</v>
      </c>
      <c r="H7" s="34">
        <v>5322000004</v>
      </c>
      <c r="I7" s="36" t="str">
        <f t="shared" si="0"/>
        <v>Muğla</v>
      </c>
      <c r="J7" s="36">
        <f t="shared" si="1"/>
        <v>18</v>
      </c>
      <c r="K7" s="36" t="str">
        <f t="shared" si="2"/>
        <v>Müdür</v>
      </c>
      <c r="L7" s="36" t="str">
        <f t="shared" si="3"/>
        <v>Satış</v>
      </c>
    </row>
    <row r="8" spans="1:12" ht="15" customHeight="1" x14ac:dyDescent="0.3">
      <c r="A8" s="4">
        <v>5322000005</v>
      </c>
      <c r="B8" s="4" t="s">
        <v>53</v>
      </c>
      <c r="C8" s="4" t="s">
        <v>34</v>
      </c>
      <c r="D8" s="4" t="s">
        <v>54</v>
      </c>
      <c r="E8" s="4">
        <v>7.12</v>
      </c>
      <c r="F8" s="4" t="s">
        <v>51</v>
      </c>
      <c r="H8" s="34">
        <v>5322000005</v>
      </c>
      <c r="I8" s="35" t="str">
        <f t="shared" si="0"/>
        <v>Adana</v>
      </c>
      <c r="J8" s="35">
        <f t="shared" si="1"/>
        <v>7.12</v>
      </c>
      <c r="K8" s="35" t="str">
        <f t="shared" si="2"/>
        <v>Uzman</v>
      </c>
      <c r="L8" s="35" t="str">
        <f t="shared" si="3"/>
        <v>Satış</v>
      </c>
    </row>
    <row r="9" spans="1:12" ht="15" customHeight="1" x14ac:dyDescent="0.3">
      <c r="A9" s="9">
        <v>5322000006</v>
      </c>
      <c r="B9" s="9" t="s">
        <v>55</v>
      </c>
      <c r="C9" s="9" t="s">
        <v>34</v>
      </c>
      <c r="D9" s="9" t="s">
        <v>56</v>
      </c>
      <c r="E9" s="9">
        <v>3.7</v>
      </c>
      <c r="F9" s="9" t="s">
        <v>57</v>
      </c>
      <c r="H9" s="34">
        <v>5322000006</v>
      </c>
      <c r="I9" s="36" t="str">
        <f t="shared" si="0"/>
        <v>Van</v>
      </c>
      <c r="J9" s="36">
        <f t="shared" si="1"/>
        <v>3.7</v>
      </c>
      <c r="K9" s="36" t="str">
        <f t="shared" si="2"/>
        <v>Uzman</v>
      </c>
      <c r="L9" s="36" t="str">
        <f t="shared" si="3"/>
        <v>NT</v>
      </c>
    </row>
    <row r="10" spans="1:12" ht="15" customHeight="1" x14ac:dyDescent="0.3">
      <c r="A10" s="4">
        <v>5322000007</v>
      </c>
      <c r="B10" s="4" t="s">
        <v>58</v>
      </c>
      <c r="C10" s="4" t="s">
        <v>49</v>
      </c>
      <c r="D10" s="4" t="s">
        <v>59</v>
      </c>
      <c r="E10" s="4">
        <v>19.52</v>
      </c>
      <c r="F10" s="4" t="s">
        <v>37</v>
      </c>
      <c r="H10" s="34">
        <v>5322000007</v>
      </c>
      <c r="I10" s="35" t="str">
        <f t="shared" si="0"/>
        <v>Kocaeli</v>
      </c>
      <c r="J10" s="35">
        <f t="shared" si="1"/>
        <v>19.52</v>
      </c>
      <c r="K10" s="35" t="str">
        <f t="shared" si="2"/>
        <v>Müdür</v>
      </c>
      <c r="L10" s="35" t="str">
        <f t="shared" si="3"/>
        <v>HR</v>
      </c>
    </row>
    <row r="11" spans="1:12" ht="15" customHeight="1" x14ac:dyDescent="0.3">
      <c r="A11" s="9">
        <v>5322000008</v>
      </c>
      <c r="B11" s="9" t="s">
        <v>60</v>
      </c>
      <c r="C11" s="9" t="s">
        <v>34</v>
      </c>
      <c r="D11" s="9" t="s">
        <v>61</v>
      </c>
      <c r="E11" s="9">
        <v>21.1</v>
      </c>
      <c r="F11" s="9" t="s">
        <v>62</v>
      </c>
      <c r="H11" s="34">
        <v>5322000008</v>
      </c>
      <c r="I11" s="36" t="str">
        <f t="shared" si="0"/>
        <v>Ankara</v>
      </c>
      <c r="J11" s="36">
        <f t="shared" si="1"/>
        <v>21.1</v>
      </c>
      <c r="K11" s="36" t="str">
        <f t="shared" si="2"/>
        <v>Uzman</v>
      </c>
      <c r="L11" s="36" t="str">
        <f t="shared" si="3"/>
        <v>Marketing</v>
      </c>
    </row>
    <row r="12" spans="1:12" ht="15" customHeight="1" x14ac:dyDescent="0.3">
      <c r="A12" s="4">
        <v>5322000009</v>
      </c>
      <c r="B12" s="4" t="s">
        <v>63</v>
      </c>
      <c r="C12" s="4" t="s">
        <v>34</v>
      </c>
      <c r="D12" s="4" t="s">
        <v>64</v>
      </c>
      <c r="E12" s="4">
        <v>4.2</v>
      </c>
      <c r="F12" s="4" t="s">
        <v>65</v>
      </c>
      <c r="H12" s="34">
        <v>5322000009</v>
      </c>
      <c r="I12" s="35" t="str">
        <f t="shared" si="0"/>
        <v>Trabzon</v>
      </c>
      <c r="J12" s="35">
        <f t="shared" si="1"/>
        <v>4.2</v>
      </c>
      <c r="K12" s="35" t="str">
        <f t="shared" si="2"/>
        <v>Uzman</v>
      </c>
      <c r="L12" s="35" t="str">
        <f t="shared" si="3"/>
        <v>Ict</v>
      </c>
    </row>
    <row r="13" spans="1:12" ht="15" customHeight="1" x14ac:dyDescent="0.3">
      <c r="A13" s="9">
        <v>5322000010</v>
      </c>
      <c r="B13" s="9" t="s">
        <v>66</v>
      </c>
      <c r="C13" s="9" t="s">
        <v>49</v>
      </c>
      <c r="D13" s="9" t="s">
        <v>67</v>
      </c>
      <c r="E13" s="9">
        <v>7.8</v>
      </c>
      <c r="F13" s="9" t="s">
        <v>65</v>
      </c>
      <c r="H13" s="34">
        <v>5322000010</v>
      </c>
      <c r="I13" s="36" t="str">
        <f t="shared" si="0"/>
        <v>Bursa</v>
      </c>
      <c r="J13" s="36">
        <f t="shared" si="1"/>
        <v>7.8</v>
      </c>
      <c r="K13" s="36" t="str">
        <f t="shared" si="2"/>
        <v>Müdür</v>
      </c>
      <c r="L13" s="36" t="str">
        <f t="shared" si="3"/>
        <v>Ict</v>
      </c>
    </row>
    <row r="14" spans="1:12" ht="15" customHeight="1" x14ac:dyDescent="0.3">
      <c r="A14" s="4">
        <v>5322000011</v>
      </c>
      <c r="B14" s="4" t="s">
        <v>68</v>
      </c>
      <c r="C14" s="4" t="s">
        <v>49</v>
      </c>
      <c r="D14" s="4" t="s">
        <v>69</v>
      </c>
      <c r="E14" s="4">
        <v>17.54</v>
      </c>
      <c r="F14" s="4" t="s">
        <v>57</v>
      </c>
      <c r="H14" s="34">
        <v>5322000011</v>
      </c>
      <c r="I14" s="35" t="str">
        <f t="shared" si="0"/>
        <v>Gaziantep</v>
      </c>
      <c r="J14" s="35">
        <f t="shared" si="1"/>
        <v>17.54</v>
      </c>
      <c r="K14" s="35" t="str">
        <f t="shared" si="2"/>
        <v>Müdür</v>
      </c>
      <c r="L14" s="35" t="str">
        <f t="shared" si="3"/>
        <v>NT</v>
      </c>
    </row>
  </sheetData>
  <mergeCells count="3">
    <mergeCell ref="A1:L1"/>
    <mergeCell ref="A2:F2"/>
    <mergeCell ref="H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0"/>
  <sheetViews>
    <sheetView showGridLines="0" zoomScale="70" zoomScaleNormal="70" workbookViewId="0">
      <selection activeCell="N9" sqref="N9"/>
    </sheetView>
  </sheetViews>
  <sheetFormatPr defaultColWidth="8.6640625" defaultRowHeight="14.4" x14ac:dyDescent="0.3"/>
  <cols>
    <col min="1" max="1" width="20" customWidth="1"/>
    <col min="2" max="2" width="16.21875" customWidth="1"/>
    <col min="3" max="3" width="15.33203125" customWidth="1"/>
    <col min="4" max="4" width="10" customWidth="1"/>
    <col min="5" max="5" width="14" customWidth="1"/>
    <col min="6" max="6" width="15.44140625" customWidth="1"/>
    <col min="7" max="7" width="14" customWidth="1"/>
    <col min="8" max="8" width="15" customWidth="1"/>
    <col min="9" max="9" width="18" customWidth="1"/>
    <col min="10" max="10" width="14" customWidth="1"/>
    <col min="11" max="11" width="16" customWidth="1"/>
    <col min="12" max="12" width="18" customWidth="1"/>
    <col min="13" max="13" width="22" customWidth="1"/>
    <col min="14" max="14" width="16" customWidth="1"/>
  </cols>
  <sheetData>
    <row r="1" spans="1:14" ht="27.75" customHeight="1" x14ac:dyDescent="0.3">
      <c r="A1" s="77" t="s">
        <v>146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14" ht="36" customHeight="1" x14ac:dyDescent="0.3">
      <c r="A2" s="37" t="s">
        <v>18</v>
      </c>
      <c r="B2" s="37" t="s">
        <v>20</v>
      </c>
      <c r="C2" s="37" t="s">
        <v>21</v>
      </c>
      <c r="D2" s="37" t="s">
        <v>147</v>
      </c>
      <c r="E2" s="37" t="s">
        <v>139</v>
      </c>
      <c r="F2" s="37" t="s">
        <v>140</v>
      </c>
      <c r="G2" s="37" t="s">
        <v>7</v>
      </c>
      <c r="H2" s="37" t="s">
        <v>28</v>
      </c>
      <c r="I2" s="37" t="s">
        <v>30</v>
      </c>
      <c r="J2" s="37" t="s">
        <v>32</v>
      </c>
      <c r="K2" s="37" t="s">
        <v>148</v>
      </c>
      <c r="L2" s="37" t="s">
        <v>149</v>
      </c>
      <c r="M2" s="37" t="s">
        <v>150</v>
      </c>
      <c r="N2" s="37" t="s">
        <v>151</v>
      </c>
    </row>
    <row r="3" spans="1:14" ht="15" customHeight="1" x14ac:dyDescent="0.3">
      <c r="A3" s="4" t="s">
        <v>33</v>
      </c>
      <c r="B3" s="4" t="s">
        <v>34</v>
      </c>
      <c r="C3" s="4">
        <v>3</v>
      </c>
      <c r="D3" s="4" t="s">
        <v>35</v>
      </c>
      <c r="E3" s="4" t="s">
        <v>36</v>
      </c>
      <c r="F3" s="4">
        <v>10.3</v>
      </c>
      <c r="G3" s="4" t="s">
        <v>37</v>
      </c>
      <c r="H3" s="21">
        <v>50000</v>
      </c>
      <c r="I3" s="21">
        <v>35000</v>
      </c>
      <c r="J3" s="4">
        <v>70</v>
      </c>
      <c r="K3" s="38" t="str">
        <f>IF(J3&gt;=70,"✅ Geçti","❌ Kaldı")</f>
        <v>✅ Geçti</v>
      </c>
      <c r="L3" s="39" t="str">
        <f>IF(F3&lt;5,"🌱 Junior",IF(F3&lt;10,"🔷 Mid",IF(F3&lt;20,"🏆 Senior","👑 Veteran")))</f>
        <v>🏆 Senior</v>
      </c>
      <c r="M3" s="39" t="str">
        <f t="shared" ref="M3:M17" si="0">IF(AND(J3&gt;=80,I3&gt;50000),"🌟 Yüksek Perf.",IF(J3&gt;=70,"✔ Orta","⚠ Gelişmeli"))</f>
        <v>✔ Orta</v>
      </c>
      <c r="N3" s="39" t="str">
        <f t="shared" ref="N3:N17" si="1">IF(H3&lt;50000,"C Grubu",IF(H3&lt;80000,"B Grubu","A Grubu"))</f>
        <v>B Grubu</v>
      </c>
    </row>
    <row r="4" spans="1:14" ht="15" customHeight="1" x14ac:dyDescent="0.3">
      <c r="A4" s="9" t="s">
        <v>39</v>
      </c>
      <c r="B4" s="9" t="s">
        <v>34</v>
      </c>
      <c r="C4" s="9">
        <v>2</v>
      </c>
      <c r="D4" s="9" t="s">
        <v>40</v>
      </c>
      <c r="E4" s="9" t="s">
        <v>41</v>
      </c>
      <c r="F4" s="9">
        <v>8.6999999999999993</v>
      </c>
      <c r="G4" s="9" t="s">
        <v>42</v>
      </c>
      <c r="H4" s="25">
        <v>70000</v>
      </c>
      <c r="I4" s="25">
        <v>480000</v>
      </c>
      <c r="J4" s="9">
        <v>91</v>
      </c>
      <c r="K4" s="40" t="str">
        <f t="shared" ref="K3:K17" si="2">IF(J4&gt;=70,"✅ Geçti","❌ Kaldı")</f>
        <v>✅ Geçti</v>
      </c>
      <c r="L4" s="36" t="str">
        <f t="shared" ref="L4:L17" si="3">IF(F4&lt;5,"🌱 Junior",IF(F4&lt;10,"🔷 Mid",IF(F4&lt;20,"🏆 Senior","👑 Veteran")))</f>
        <v>🔷 Mid</v>
      </c>
      <c r="M4" s="36" t="str">
        <f t="shared" si="0"/>
        <v>🌟 Yüksek Perf.</v>
      </c>
      <c r="N4" s="36" t="str">
        <f t="shared" si="1"/>
        <v>B Grubu</v>
      </c>
    </row>
    <row r="5" spans="1:14" ht="15" customHeight="1" x14ac:dyDescent="0.3">
      <c r="A5" s="4" t="s">
        <v>44</v>
      </c>
      <c r="B5" s="4" t="s">
        <v>45</v>
      </c>
      <c r="C5" s="4">
        <v>5</v>
      </c>
      <c r="D5" s="4" t="s">
        <v>35</v>
      </c>
      <c r="E5" s="4" t="s">
        <v>46</v>
      </c>
      <c r="F5" s="4">
        <v>15.9</v>
      </c>
      <c r="G5" s="4" t="s">
        <v>47</v>
      </c>
      <c r="H5" s="21">
        <v>120000</v>
      </c>
      <c r="I5" s="21">
        <v>0</v>
      </c>
      <c r="J5" s="4">
        <v>93</v>
      </c>
      <c r="K5" s="38" t="str">
        <f>IF(J5&gt;=70,"✅ Geçti","❌ Kaldı")</f>
        <v>✅ Geçti</v>
      </c>
      <c r="L5" s="39" t="str">
        <f t="shared" si="3"/>
        <v>🏆 Senior</v>
      </c>
      <c r="M5" s="39" t="str">
        <f t="shared" si="0"/>
        <v>✔ Orta</v>
      </c>
      <c r="N5" s="39" t="str">
        <f t="shared" si="1"/>
        <v>A Grubu</v>
      </c>
    </row>
    <row r="6" spans="1:14" ht="15" customHeight="1" x14ac:dyDescent="0.3">
      <c r="A6" s="9" t="s">
        <v>48</v>
      </c>
      <c r="B6" s="9" t="s">
        <v>49</v>
      </c>
      <c r="C6" s="9">
        <v>4</v>
      </c>
      <c r="D6" s="9" t="s">
        <v>35</v>
      </c>
      <c r="E6" s="9" t="s">
        <v>50</v>
      </c>
      <c r="F6" s="9">
        <v>18</v>
      </c>
      <c r="G6" s="9" t="s">
        <v>51</v>
      </c>
      <c r="H6" s="25">
        <v>40000</v>
      </c>
      <c r="I6" s="25">
        <v>45000</v>
      </c>
      <c r="J6" s="9">
        <v>67</v>
      </c>
      <c r="K6" s="40" t="str">
        <f t="shared" si="2"/>
        <v>❌ Kaldı</v>
      </c>
      <c r="L6" s="36" t="str">
        <f t="shared" si="3"/>
        <v>🏆 Senior</v>
      </c>
      <c r="M6" s="36" t="str">
        <f t="shared" si="0"/>
        <v>⚠ Gelişmeli</v>
      </c>
      <c r="N6" s="36" t="str">
        <f t="shared" si="1"/>
        <v>C Grubu</v>
      </c>
    </row>
    <row r="7" spans="1:14" ht="15" customHeight="1" x14ac:dyDescent="0.3">
      <c r="A7" s="4" t="s">
        <v>53</v>
      </c>
      <c r="B7" s="4" t="s">
        <v>34</v>
      </c>
      <c r="C7" s="4">
        <v>3</v>
      </c>
      <c r="D7" s="4" t="s">
        <v>40</v>
      </c>
      <c r="E7" s="4" t="s">
        <v>54</v>
      </c>
      <c r="F7" s="4">
        <v>7.12</v>
      </c>
      <c r="G7" s="4" t="s">
        <v>51</v>
      </c>
      <c r="H7" s="21">
        <v>55000</v>
      </c>
      <c r="I7" s="21">
        <v>95000</v>
      </c>
      <c r="J7" s="4">
        <v>89</v>
      </c>
      <c r="K7" s="38" t="str">
        <f t="shared" si="2"/>
        <v>✅ Geçti</v>
      </c>
      <c r="L7" s="39" t="str">
        <f t="shared" si="3"/>
        <v>🔷 Mid</v>
      </c>
      <c r="M7" s="39" t="str">
        <f t="shared" si="0"/>
        <v>🌟 Yüksek Perf.</v>
      </c>
      <c r="N7" s="39" t="str">
        <f t="shared" si="1"/>
        <v>B Grubu</v>
      </c>
    </row>
    <row r="8" spans="1:14" ht="15" customHeight="1" x14ac:dyDescent="0.3">
      <c r="A8" s="9" t="s">
        <v>55</v>
      </c>
      <c r="B8" s="9" t="s">
        <v>34</v>
      </c>
      <c r="C8" s="9">
        <v>1</v>
      </c>
      <c r="D8" s="9" t="s">
        <v>40</v>
      </c>
      <c r="E8" s="9" t="s">
        <v>56</v>
      </c>
      <c r="F8" s="9">
        <v>3.7</v>
      </c>
      <c r="G8" s="9" t="s">
        <v>57</v>
      </c>
      <c r="H8" s="25">
        <v>35000</v>
      </c>
      <c r="I8" s="25">
        <v>10000</v>
      </c>
      <c r="J8" s="9">
        <v>72</v>
      </c>
      <c r="K8" s="40" t="str">
        <f t="shared" si="2"/>
        <v>✅ Geçti</v>
      </c>
      <c r="L8" s="36" t="str">
        <f t="shared" si="3"/>
        <v>🌱 Junior</v>
      </c>
      <c r="M8" s="36" t="str">
        <f t="shared" si="0"/>
        <v>✔ Orta</v>
      </c>
      <c r="N8" s="36" t="str">
        <f t="shared" si="1"/>
        <v>C Grubu</v>
      </c>
    </row>
    <row r="9" spans="1:14" ht="15" customHeight="1" x14ac:dyDescent="0.3">
      <c r="A9" s="4" t="s">
        <v>58</v>
      </c>
      <c r="B9" s="4" t="s">
        <v>49</v>
      </c>
      <c r="C9" s="4">
        <v>4</v>
      </c>
      <c r="D9" s="4" t="s">
        <v>40</v>
      </c>
      <c r="E9" s="4" t="s">
        <v>59</v>
      </c>
      <c r="F9" s="4">
        <v>19.52</v>
      </c>
      <c r="G9" s="4" t="s">
        <v>37</v>
      </c>
      <c r="H9" s="21">
        <v>95000</v>
      </c>
      <c r="I9" s="21">
        <v>67000</v>
      </c>
      <c r="J9" s="4">
        <v>95</v>
      </c>
      <c r="K9" s="38" t="str">
        <f t="shared" si="2"/>
        <v>✅ Geçti</v>
      </c>
      <c r="L9" s="39" t="str">
        <f t="shared" si="3"/>
        <v>🏆 Senior</v>
      </c>
      <c r="M9" s="39" t="str">
        <f t="shared" si="0"/>
        <v>🌟 Yüksek Perf.</v>
      </c>
      <c r="N9" s="39" t="str">
        <f t="shared" si="1"/>
        <v>A Grubu</v>
      </c>
    </row>
    <row r="10" spans="1:14" ht="15" customHeight="1" x14ac:dyDescent="0.3">
      <c r="A10" s="9" t="s">
        <v>60</v>
      </c>
      <c r="B10" s="9" t="s">
        <v>34</v>
      </c>
      <c r="C10" s="9">
        <v>4</v>
      </c>
      <c r="D10" s="9" t="s">
        <v>35</v>
      </c>
      <c r="E10" s="9" t="s">
        <v>61</v>
      </c>
      <c r="F10" s="9">
        <v>21.1</v>
      </c>
      <c r="G10" s="9" t="s">
        <v>62</v>
      </c>
      <c r="H10" s="25">
        <v>90000</v>
      </c>
      <c r="I10" s="25">
        <v>56000</v>
      </c>
      <c r="J10" s="9">
        <v>62</v>
      </c>
      <c r="K10" s="40" t="str">
        <f t="shared" si="2"/>
        <v>❌ Kaldı</v>
      </c>
      <c r="L10" s="36" t="str">
        <f t="shared" si="3"/>
        <v>👑 Veteran</v>
      </c>
      <c r="M10" s="36" t="str">
        <f t="shared" si="0"/>
        <v>⚠ Gelişmeli</v>
      </c>
      <c r="N10" s="36" t="str">
        <f t="shared" si="1"/>
        <v>A Grubu</v>
      </c>
    </row>
    <row r="11" spans="1:14" ht="15" customHeight="1" x14ac:dyDescent="0.3">
      <c r="A11" s="4" t="s">
        <v>63</v>
      </c>
      <c r="B11" s="4" t="s">
        <v>34</v>
      </c>
      <c r="C11" s="4">
        <v>1</v>
      </c>
      <c r="D11" s="4" t="s">
        <v>35</v>
      </c>
      <c r="E11" s="4" t="s">
        <v>64</v>
      </c>
      <c r="F11" s="4">
        <v>4.2</v>
      </c>
      <c r="G11" s="4" t="s">
        <v>65</v>
      </c>
      <c r="H11" s="21">
        <v>60000</v>
      </c>
      <c r="I11" s="21">
        <v>72800</v>
      </c>
      <c r="J11" s="4">
        <v>91</v>
      </c>
      <c r="K11" s="38" t="str">
        <f t="shared" si="2"/>
        <v>✅ Geçti</v>
      </c>
      <c r="L11" s="39" t="str">
        <f t="shared" si="3"/>
        <v>🌱 Junior</v>
      </c>
      <c r="M11" s="39" t="str">
        <f t="shared" si="0"/>
        <v>🌟 Yüksek Perf.</v>
      </c>
      <c r="N11" s="39" t="str">
        <f t="shared" si="1"/>
        <v>B Grubu</v>
      </c>
    </row>
    <row r="12" spans="1:14" ht="15" customHeight="1" x14ac:dyDescent="0.3">
      <c r="A12" s="9" t="s">
        <v>66</v>
      </c>
      <c r="B12" s="9" t="s">
        <v>49</v>
      </c>
      <c r="C12" s="9">
        <v>3</v>
      </c>
      <c r="D12" s="9" t="s">
        <v>35</v>
      </c>
      <c r="E12" s="9" t="s">
        <v>67</v>
      </c>
      <c r="F12" s="9">
        <v>7.8</v>
      </c>
      <c r="G12" s="9" t="s">
        <v>65</v>
      </c>
      <c r="H12" s="25">
        <v>85000</v>
      </c>
      <c r="I12" s="25">
        <v>5000</v>
      </c>
      <c r="J12" s="9">
        <v>87</v>
      </c>
      <c r="K12" s="40" t="str">
        <f t="shared" si="2"/>
        <v>✅ Geçti</v>
      </c>
      <c r="L12" s="36" t="str">
        <f t="shared" si="3"/>
        <v>🔷 Mid</v>
      </c>
      <c r="M12" s="36" t="str">
        <f t="shared" si="0"/>
        <v>✔ Orta</v>
      </c>
      <c r="N12" s="36" t="str">
        <f t="shared" si="1"/>
        <v>A Grubu</v>
      </c>
    </row>
    <row r="13" spans="1:14" ht="15" customHeight="1" x14ac:dyDescent="0.3">
      <c r="A13" s="4" t="s">
        <v>68</v>
      </c>
      <c r="B13" s="4" t="s">
        <v>49</v>
      </c>
      <c r="C13" s="4">
        <v>4</v>
      </c>
      <c r="D13" s="4" t="s">
        <v>40</v>
      </c>
      <c r="E13" s="4" t="s">
        <v>69</v>
      </c>
      <c r="F13" s="4">
        <v>17.54</v>
      </c>
      <c r="G13" s="4" t="s">
        <v>57</v>
      </c>
      <c r="H13" s="21">
        <v>90000</v>
      </c>
      <c r="I13" s="21">
        <v>50000</v>
      </c>
      <c r="J13" s="4">
        <v>98</v>
      </c>
      <c r="K13" s="38" t="str">
        <f t="shared" si="2"/>
        <v>✅ Geçti</v>
      </c>
      <c r="L13" s="39" t="str">
        <f t="shared" si="3"/>
        <v>🏆 Senior</v>
      </c>
      <c r="M13" s="39" t="str">
        <f t="shared" si="0"/>
        <v>✔ Orta</v>
      </c>
      <c r="N13" s="39" t="str">
        <f t="shared" si="1"/>
        <v>A Grubu</v>
      </c>
    </row>
    <row r="14" spans="1:14" ht="15" customHeight="1" x14ac:dyDescent="0.3">
      <c r="A14" s="9" t="s">
        <v>70</v>
      </c>
      <c r="B14" s="9" t="s">
        <v>34</v>
      </c>
      <c r="C14" s="9">
        <v>3</v>
      </c>
      <c r="D14" s="9" t="s">
        <v>40</v>
      </c>
      <c r="E14" s="9" t="s">
        <v>71</v>
      </c>
      <c r="F14" s="9">
        <v>3.6</v>
      </c>
      <c r="G14" s="9" t="s">
        <v>65</v>
      </c>
      <c r="H14" s="25">
        <v>45000</v>
      </c>
      <c r="I14" s="25">
        <v>20000</v>
      </c>
      <c r="J14" s="9">
        <v>82</v>
      </c>
      <c r="K14" s="40" t="str">
        <f t="shared" si="2"/>
        <v>✅ Geçti</v>
      </c>
      <c r="L14" s="36" t="str">
        <f t="shared" si="3"/>
        <v>🌱 Junior</v>
      </c>
      <c r="M14" s="36" t="str">
        <f t="shared" si="0"/>
        <v>✔ Orta</v>
      </c>
      <c r="N14" s="36" t="str">
        <f t="shared" si="1"/>
        <v>C Grubu</v>
      </c>
    </row>
    <row r="15" spans="1:14" ht="15" customHeight="1" x14ac:dyDescent="0.3">
      <c r="A15" s="4" t="s">
        <v>83</v>
      </c>
      <c r="B15" s="4" t="s">
        <v>49</v>
      </c>
      <c r="C15" s="4">
        <v>4</v>
      </c>
      <c r="D15" s="4" t="s">
        <v>35</v>
      </c>
      <c r="E15" s="4" t="s">
        <v>84</v>
      </c>
      <c r="F15" s="4">
        <v>17.3</v>
      </c>
      <c r="G15" s="4" t="s">
        <v>47</v>
      </c>
      <c r="H15" s="21">
        <v>95000</v>
      </c>
      <c r="I15" s="21">
        <v>102000</v>
      </c>
      <c r="J15" s="4">
        <v>97</v>
      </c>
      <c r="K15" s="38" t="str">
        <f t="shared" si="2"/>
        <v>✅ Geçti</v>
      </c>
      <c r="L15" s="39" t="str">
        <f t="shared" si="3"/>
        <v>🏆 Senior</v>
      </c>
      <c r="M15" s="39" t="str">
        <f t="shared" si="0"/>
        <v>🌟 Yüksek Perf.</v>
      </c>
      <c r="N15" s="39" t="str">
        <f t="shared" si="1"/>
        <v>A Grubu</v>
      </c>
    </row>
    <row r="16" spans="1:14" ht="15" customHeight="1" x14ac:dyDescent="0.3">
      <c r="A16" s="9" t="s">
        <v>85</v>
      </c>
      <c r="B16" s="9" t="s">
        <v>34</v>
      </c>
      <c r="C16" s="9">
        <v>3</v>
      </c>
      <c r="D16" s="9" t="s">
        <v>35</v>
      </c>
      <c r="E16" s="9" t="s">
        <v>86</v>
      </c>
      <c r="F16" s="9">
        <v>7.4</v>
      </c>
      <c r="G16" s="9" t="s">
        <v>87</v>
      </c>
      <c r="H16" s="25">
        <v>48000</v>
      </c>
      <c r="I16" s="25">
        <v>650</v>
      </c>
      <c r="J16" s="9">
        <v>57</v>
      </c>
      <c r="K16" s="40" t="str">
        <f t="shared" si="2"/>
        <v>❌ Kaldı</v>
      </c>
      <c r="L16" s="36" t="str">
        <f t="shared" si="3"/>
        <v>🔷 Mid</v>
      </c>
      <c r="M16" s="36" t="str">
        <f t="shared" si="0"/>
        <v>⚠ Gelişmeli</v>
      </c>
      <c r="N16" s="36" t="str">
        <f t="shared" si="1"/>
        <v>C Grubu</v>
      </c>
    </row>
    <row r="17" spans="1:14" ht="15" customHeight="1" x14ac:dyDescent="0.3">
      <c r="A17" s="4" t="s">
        <v>88</v>
      </c>
      <c r="B17" s="4" t="s">
        <v>34</v>
      </c>
      <c r="C17" s="4">
        <v>2</v>
      </c>
      <c r="D17" s="4" t="s">
        <v>40</v>
      </c>
      <c r="E17" s="4" t="s">
        <v>77</v>
      </c>
      <c r="F17" s="4">
        <v>3.7</v>
      </c>
      <c r="G17" s="4" t="s">
        <v>74</v>
      </c>
      <c r="H17" s="21">
        <v>40000</v>
      </c>
      <c r="I17" s="21">
        <v>56050</v>
      </c>
      <c r="J17" s="4">
        <v>88</v>
      </c>
      <c r="K17" s="38" t="str">
        <f t="shared" si="2"/>
        <v>✅ Geçti</v>
      </c>
      <c r="L17" s="39" t="str">
        <f t="shared" si="3"/>
        <v>🌱 Junior</v>
      </c>
      <c r="M17" s="39" t="str">
        <f t="shared" si="0"/>
        <v>🌟 Yüksek Perf.</v>
      </c>
      <c r="N17" s="39" t="str">
        <f t="shared" si="1"/>
        <v>C Grubu</v>
      </c>
    </row>
    <row r="20" spans="1:14" ht="15" customHeight="1" x14ac:dyDescent="0.3">
      <c r="A20" s="80" t="s">
        <v>152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</row>
    <row r="21" spans="1:14" ht="15" customHeight="1" x14ac:dyDescent="0.3">
      <c r="A21" s="20" t="s">
        <v>153</v>
      </c>
      <c r="B21" s="20" t="s">
        <v>154</v>
      </c>
      <c r="C21" s="20" t="s">
        <v>155</v>
      </c>
      <c r="E21" s="20" t="s">
        <v>206</v>
      </c>
      <c r="F21" s="20" t="s">
        <v>154</v>
      </c>
    </row>
    <row r="22" spans="1:14" ht="32.25" customHeight="1" x14ac:dyDescent="0.3">
      <c r="A22" s="41" t="s">
        <v>156</v>
      </c>
      <c r="B22" s="60" t="s">
        <v>157</v>
      </c>
      <c r="C22" s="43">
        <f>COUNTA(A3:A17)</f>
        <v>15</v>
      </c>
      <c r="E22" t="s">
        <v>205</v>
      </c>
      <c r="F22" t="s">
        <v>208</v>
      </c>
    </row>
    <row r="23" spans="1:14" ht="42.75" customHeight="1" x14ac:dyDescent="0.3">
      <c r="A23" s="44" t="s">
        <v>158</v>
      </c>
      <c r="B23" s="42" t="s">
        <v>159</v>
      </c>
      <c r="C23" s="43">
        <f>COUNTIF(D3:D17,"Kadın")</f>
        <v>8</v>
      </c>
      <c r="E23" t="s">
        <v>207</v>
      </c>
      <c r="F23" t="s">
        <v>209</v>
      </c>
    </row>
    <row r="24" spans="1:14" ht="42.75" customHeight="1" x14ac:dyDescent="0.3">
      <c r="A24" s="41" t="s">
        <v>160</v>
      </c>
      <c r="B24" s="42" t="s">
        <v>161</v>
      </c>
      <c r="C24" s="43">
        <f>COUNTIF(D3:D17,"Erkek")</f>
        <v>7</v>
      </c>
    </row>
    <row r="25" spans="1:14" ht="42.75" customHeight="1" x14ac:dyDescent="0.3">
      <c r="A25" s="44" t="s">
        <v>162</v>
      </c>
      <c r="B25" s="42" t="s">
        <v>163</v>
      </c>
      <c r="C25" s="43">
        <f>COUNTIF(J3:J17,"&gt;=70")</f>
        <v>12</v>
      </c>
    </row>
    <row r="26" spans="1:14" ht="42.75" customHeight="1" x14ac:dyDescent="0.3">
      <c r="A26" s="41" t="s">
        <v>164</v>
      </c>
      <c r="B26" s="42" t="s">
        <v>165</v>
      </c>
      <c r="C26" s="45">
        <f>SUMIF(G3:G17,"Satış",I3:I17)</f>
        <v>140000</v>
      </c>
    </row>
    <row r="27" spans="1:14" ht="42.75" customHeight="1" x14ac:dyDescent="0.3">
      <c r="A27" s="44" t="s">
        <v>166</v>
      </c>
      <c r="B27" s="42" t="s">
        <v>167</v>
      </c>
      <c r="C27" s="45">
        <f>SUMIF(G3:G17,"HR",H3:H17)</f>
        <v>145000</v>
      </c>
    </row>
    <row r="28" spans="1:14" ht="32.25" customHeight="1" x14ac:dyDescent="0.3">
      <c r="A28" s="41" t="s">
        <v>168</v>
      </c>
      <c r="B28" s="42" t="s">
        <v>169</v>
      </c>
      <c r="C28" s="45">
        <f>AVERAGE(H3:H17)</f>
        <v>67866.666666666672</v>
      </c>
    </row>
    <row r="29" spans="1:14" ht="42.75" customHeight="1" x14ac:dyDescent="0.3">
      <c r="A29" s="44" t="s">
        <v>170</v>
      </c>
      <c r="B29" s="42" t="s">
        <v>171</v>
      </c>
      <c r="C29" s="46">
        <f>AVERAGEIF(D3:D17,"Kadın",J3:J17)</f>
        <v>78</v>
      </c>
    </row>
    <row r="30" spans="1:14" ht="42.75" customHeight="1" x14ac:dyDescent="0.3">
      <c r="A30" s="41" t="s">
        <v>172</v>
      </c>
      <c r="B30" s="42" t="s">
        <v>173</v>
      </c>
      <c r="C30" s="45">
        <f>AVERAGEIF(B3:B17,"Uzman",H3:H17)</f>
        <v>54777.777777777781</v>
      </c>
    </row>
  </sheetData>
  <mergeCells count="2">
    <mergeCell ref="A1:N1"/>
    <mergeCell ref="A20:N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"/>
  <sheetViews>
    <sheetView showGridLines="0" topLeftCell="H1" zoomScaleNormal="100" workbookViewId="0">
      <selection activeCell="O4" sqref="O4"/>
    </sheetView>
  </sheetViews>
  <sheetFormatPr defaultColWidth="8.6640625" defaultRowHeight="14.4" x14ac:dyDescent="0.3"/>
  <cols>
    <col min="1" max="1" width="10" customWidth="1"/>
    <col min="2" max="3" width="14" customWidth="1"/>
    <col min="4" max="4" width="16" customWidth="1"/>
    <col min="5" max="5" width="10" customWidth="1"/>
    <col min="6" max="6" width="14" customWidth="1"/>
    <col min="7" max="7" width="16" customWidth="1"/>
    <col min="8" max="8" width="18" customWidth="1"/>
    <col min="9" max="9" width="12" customWidth="1"/>
    <col min="10" max="10" width="16" customWidth="1"/>
    <col min="11" max="12" width="14" customWidth="1"/>
    <col min="13" max="13" width="12" customWidth="1"/>
  </cols>
  <sheetData>
    <row r="1" spans="1:13" ht="27.75" customHeight="1" x14ac:dyDescent="0.3">
      <c r="A1" s="77" t="s">
        <v>174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15" customHeight="1" x14ac:dyDescent="0.3">
      <c r="A2" s="37" t="s">
        <v>110</v>
      </c>
      <c r="B2" s="37" t="s">
        <v>111</v>
      </c>
      <c r="C2" s="37" t="s">
        <v>175</v>
      </c>
      <c r="D2" s="37" t="s">
        <v>176</v>
      </c>
      <c r="E2" s="37" t="s">
        <v>20</v>
      </c>
      <c r="F2" s="37" t="s">
        <v>139</v>
      </c>
      <c r="G2" s="37" t="s">
        <v>177</v>
      </c>
      <c r="H2" s="37" t="s">
        <v>178</v>
      </c>
      <c r="I2" s="37" t="s">
        <v>179</v>
      </c>
      <c r="J2" s="37" t="s">
        <v>180</v>
      </c>
      <c r="K2" s="37" t="s">
        <v>181</v>
      </c>
      <c r="L2" s="37" t="s">
        <v>182</v>
      </c>
      <c r="M2" s="37" t="s">
        <v>183</v>
      </c>
    </row>
    <row r="3" spans="1:13" ht="15" customHeight="1" x14ac:dyDescent="0.3">
      <c r="A3" s="59" t="s">
        <v>204</v>
      </c>
      <c r="B3" s="59" t="s">
        <v>117</v>
      </c>
      <c r="C3" s="4">
        <v>38068</v>
      </c>
      <c r="D3" s="58">
        <f>C3</f>
        <v>38068</v>
      </c>
      <c r="E3" s="59" t="s">
        <v>34</v>
      </c>
      <c r="F3" s="59" t="s">
        <v>84</v>
      </c>
      <c r="G3" s="4">
        <v>45202</v>
      </c>
      <c r="H3" s="47">
        <f>G3</f>
        <v>45202</v>
      </c>
      <c r="I3" s="4">
        <v>101000</v>
      </c>
      <c r="J3" s="48" t="str">
        <f>TEXT(I3,"#.##0") &amp; " ₺"</f>
        <v>101.000 ₺</v>
      </c>
      <c r="K3" s="4">
        <v>0.99</v>
      </c>
      <c r="L3" s="49">
        <f>K3</f>
        <v>0.99</v>
      </c>
      <c r="M3" s="4" t="str">
        <f>IF(L3&gt;=0.7,"⭐ Verimli","Normal")</f>
        <v>⭐ Verimli</v>
      </c>
    </row>
    <row r="4" spans="1:13" ht="15" customHeight="1" x14ac:dyDescent="0.3">
      <c r="A4" s="4" t="s">
        <v>184</v>
      </c>
      <c r="B4" s="4" t="s">
        <v>185</v>
      </c>
      <c r="C4" s="4">
        <v>36359</v>
      </c>
      <c r="D4" s="58">
        <f>C4</f>
        <v>36359</v>
      </c>
      <c r="E4" s="59" t="s">
        <v>34</v>
      </c>
      <c r="F4" s="4" t="s">
        <v>64</v>
      </c>
      <c r="G4" s="4">
        <v>40209</v>
      </c>
      <c r="H4" s="47">
        <f>G4</f>
        <v>40209</v>
      </c>
      <c r="I4" s="4">
        <v>72800</v>
      </c>
      <c r="J4" s="48" t="str">
        <f t="shared" ref="J4:J9" si="0">TEXT(I4,"#.##0") &amp; " ₺"</f>
        <v>72.800 ₺</v>
      </c>
      <c r="K4" s="4">
        <v>0.35</v>
      </c>
      <c r="L4" s="49">
        <f>K4</f>
        <v>0.35</v>
      </c>
      <c r="M4" s="4" t="str">
        <f t="shared" ref="M4:M9" si="1">IF(L4&gt;=0.7,"⭐ Verimli","Normal")</f>
        <v>Normal</v>
      </c>
    </row>
    <row r="5" spans="1:13" ht="15" customHeight="1" x14ac:dyDescent="0.3">
      <c r="A5" s="9" t="s">
        <v>186</v>
      </c>
      <c r="B5" s="9" t="s">
        <v>187</v>
      </c>
      <c r="C5" s="9">
        <v>33142</v>
      </c>
      <c r="D5" s="50">
        <f>C5</f>
        <v>33142</v>
      </c>
      <c r="E5" s="9" t="s">
        <v>49</v>
      </c>
      <c r="F5" s="9" t="s">
        <v>67</v>
      </c>
      <c r="G5" s="9">
        <v>38380</v>
      </c>
      <c r="H5" s="50">
        <f t="shared" ref="H5:H9" si="2">G5</f>
        <v>38380</v>
      </c>
      <c r="I5" s="9">
        <v>5000</v>
      </c>
      <c r="J5" s="48" t="str">
        <f t="shared" si="0"/>
        <v>5.000 ₺</v>
      </c>
      <c r="K5" s="9">
        <v>0.55000000000000004</v>
      </c>
      <c r="L5" s="51">
        <f t="shared" ref="L5:L9" si="3">K5</f>
        <v>0.55000000000000004</v>
      </c>
      <c r="M5" s="9" t="str">
        <f t="shared" si="1"/>
        <v>Normal</v>
      </c>
    </row>
    <row r="6" spans="1:13" ht="15" customHeight="1" x14ac:dyDescent="0.3">
      <c r="A6" s="4" t="s">
        <v>188</v>
      </c>
      <c r="B6" s="4" t="s">
        <v>189</v>
      </c>
      <c r="C6" s="4">
        <v>32428</v>
      </c>
      <c r="D6" s="47">
        <f>C6</f>
        <v>32428</v>
      </c>
      <c r="E6" s="4" t="s">
        <v>49</v>
      </c>
      <c r="F6" s="4" t="s">
        <v>69</v>
      </c>
      <c r="G6" s="4">
        <v>39914</v>
      </c>
      <c r="H6" s="47">
        <f t="shared" si="2"/>
        <v>39914</v>
      </c>
      <c r="I6" s="4">
        <v>50000</v>
      </c>
      <c r="J6" s="48" t="str">
        <f t="shared" si="0"/>
        <v>50.000 ₺</v>
      </c>
      <c r="K6" s="4">
        <v>0.85</v>
      </c>
      <c r="L6" s="49">
        <f t="shared" si="3"/>
        <v>0.85</v>
      </c>
      <c r="M6" s="4" t="str">
        <f t="shared" si="1"/>
        <v>⭐ Verimli</v>
      </c>
    </row>
    <row r="7" spans="1:13" ht="15" customHeight="1" x14ac:dyDescent="0.3">
      <c r="A7" s="9" t="s">
        <v>190</v>
      </c>
      <c r="B7" s="9" t="s">
        <v>191</v>
      </c>
      <c r="C7" s="9">
        <v>33572</v>
      </c>
      <c r="D7" s="50">
        <f t="shared" ref="D7:D9" si="4">C7</f>
        <v>33572</v>
      </c>
      <c r="E7" s="9" t="s">
        <v>34</v>
      </c>
      <c r="F7" s="9" t="s">
        <v>71</v>
      </c>
      <c r="G7" s="9">
        <v>43851</v>
      </c>
      <c r="H7" s="50">
        <f t="shared" si="2"/>
        <v>43851</v>
      </c>
      <c r="I7" s="9">
        <v>20000</v>
      </c>
      <c r="J7" s="48" t="str">
        <f t="shared" si="0"/>
        <v>20.000 ₺</v>
      </c>
      <c r="K7" s="9">
        <v>0.9</v>
      </c>
      <c r="L7" s="51">
        <f t="shared" si="3"/>
        <v>0.9</v>
      </c>
      <c r="M7" s="9" t="str">
        <f t="shared" si="1"/>
        <v>⭐ Verimli</v>
      </c>
    </row>
    <row r="8" spans="1:13" ht="15" customHeight="1" x14ac:dyDescent="0.3">
      <c r="A8" s="4" t="s">
        <v>192</v>
      </c>
      <c r="B8" s="4" t="s">
        <v>193</v>
      </c>
      <c r="C8" s="4">
        <v>29742</v>
      </c>
      <c r="D8" s="47">
        <f t="shared" si="4"/>
        <v>29742</v>
      </c>
      <c r="E8" s="4" t="s">
        <v>34</v>
      </c>
      <c r="F8" s="4" t="s">
        <v>61</v>
      </c>
      <c r="G8" s="4">
        <v>41281</v>
      </c>
      <c r="H8" s="47">
        <f t="shared" si="2"/>
        <v>41281</v>
      </c>
      <c r="I8" s="4">
        <v>90000</v>
      </c>
      <c r="J8" s="48" t="str">
        <f t="shared" si="0"/>
        <v>90.000 ₺</v>
      </c>
      <c r="K8" s="4">
        <v>0.72</v>
      </c>
      <c r="L8" s="49">
        <f t="shared" si="3"/>
        <v>0.72</v>
      </c>
      <c r="M8" s="4" t="str">
        <f t="shared" si="1"/>
        <v>⭐ Verimli</v>
      </c>
    </row>
    <row r="9" spans="1:13" ht="15" customHeight="1" x14ac:dyDescent="0.3">
      <c r="A9" s="9" t="s">
        <v>194</v>
      </c>
      <c r="B9" s="9" t="s">
        <v>195</v>
      </c>
      <c r="C9" s="9">
        <v>36086</v>
      </c>
      <c r="D9" s="50">
        <f t="shared" si="4"/>
        <v>36086</v>
      </c>
      <c r="E9" s="9" t="s">
        <v>34</v>
      </c>
      <c r="F9" s="9" t="s">
        <v>56</v>
      </c>
      <c r="G9" s="9">
        <v>44927</v>
      </c>
      <c r="H9" s="50">
        <f t="shared" si="2"/>
        <v>44927</v>
      </c>
      <c r="I9" s="9">
        <v>35000</v>
      </c>
      <c r="J9" s="48" t="str">
        <f t="shared" si="0"/>
        <v>35.000 ₺</v>
      </c>
      <c r="K9" s="9">
        <v>0.45</v>
      </c>
      <c r="L9" s="51">
        <f t="shared" si="3"/>
        <v>0.45</v>
      </c>
      <c r="M9" s="9" t="str">
        <f t="shared" si="1"/>
        <v>Normal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4"/>
  <sheetViews>
    <sheetView showGridLines="0" tabSelected="1" zoomScale="83" zoomScaleNormal="61" workbookViewId="0">
      <selection activeCell="F21" sqref="F21"/>
    </sheetView>
  </sheetViews>
  <sheetFormatPr defaultColWidth="8.6640625" defaultRowHeight="14.4" x14ac:dyDescent="0.3"/>
  <cols>
    <col min="1" max="1" width="22" customWidth="1"/>
    <col min="2" max="2" width="16" customWidth="1"/>
    <col min="3" max="3" width="22" customWidth="1"/>
    <col min="4" max="4" width="16" customWidth="1"/>
    <col min="5" max="6" width="12" customWidth="1"/>
  </cols>
  <sheetData>
    <row r="1" spans="1:16" ht="27.75" customHeight="1" x14ac:dyDescent="0.3">
      <c r="A1" s="77" t="s">
        <v>196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6" ht="15" customHeight="1" x14ac:dyDescent="0.3">
      <c r="A2" s="78" t="s">
        <v>197</v>
      </c>
      <c r="B2" s="78"/>
      <c r="C2" s="78"/>
      <c r="D2" s="78"/>
      <c r="E2" s="78"/>
      <c r="F2" s="78"/>
    </row>
    <row r="3" spans="1:16" ht="15" customHeight="1" x14ac:dyDescent="0.3">
      <c r="A3" s="52" t="s">
        <v>7</v>
      </c>
      <c r="B3" s="52" t="s">
        <v>8</v>
      </c>
      <c r="C3" s="52" t="s">
        <v>198</v>
      </c>
      <c r="D3" s="52" t="s">
        <v>199</v>
      </c>
      <c r="E3" s="52" t="s">
        <v>200</v>
      </c>
      <c r="F3" s="52" t="s">
        <v>201</v>
      </c>
    </row>
    <row r="4" spans="1:16" ht="15" customHeight="1" x14ac:dyDescent="0.3">
      <c r="A4" s="4" t="s">
        <v>11</v>
      </c>
      <c r="B4" s="4">
        <v>3</v>
      </c>
      <c r="C4" s="21">
        <v>147800</v>
      </c>
      <c r="D4" s="4">
        <v>75</v>
      </c>
      <c r="E4" s="4">
        <v>11.97</v>
      </c>
      <c r="F4" s="53">
        <f t="shared" ref="F4:F10" si="0">C4/SUM($C$4:$C$10)</f>
        <v>0.11216513622220536</v>
      </c>
    </row>
    <row r="5" spans="1:16" ht="15" customHeight="1" x14ac:dyDescent="0.3">
      <c r="A5" s="9" t="s">
        <v>12</v>
      </c>
      <c r="B5" s="9">
        <v>6</v>
      </c>
      <c r="C5" s="25">
        <v>182500</v>
      </c>
      <c r="D5" s="9">
        <v>86.3</v>
      </c>
      <c r="E5" s="9">
        <v>12.84</v>
      </c>
      <c r="F5" s="54">
        <f t="shared" si="0"/>
        <v>0.13849889959778403</v>
      </c>
    </row>
    <row r="6" spans="1:16" ht="15" customHeight="1" x14ac:dyDescent="0.3">
      <c r="A6" s="4" t="s">
        <v>13</v>
      </c>
      <c r="B6" s="4">
        <v>5</v>
      </c>
      <c r="C6" s="21">
        <v>259600</v>
      </c>
      <c r="D6" s="4">
        <v>74.8</v>
      </c>
      <c r="E6" s="4">
        <v>8.5399999999999991</v>
      </c>
      <c r="F6" s="53">
        <f t="shared" si="0"/>
        <v>0.19700994156484783</v>
      </c>
    </row>
    <row r="7" spans="1:16" ht="15" customHeight="1" x14ac:dyDescent="0.3">
      <c r="A7" s="9" t="s">
        <v>14</v>
      </c>
      <c r="B7" s="9">
        <v>1</v>
      </c>
      <c r="C7" s="25">
        <v>480000</v>
      </c>
      <c r="D7" s="9">
        <v>91</v>
      </c>
      <c r="E7" s="9">
        <v>8.6999999999999993</v>
      </c>
      <c r="F7" s="54">
        <f t="shared" si="0"/>
        <v>0.36427107839417167</v>
      </c>
    </row>
    <row r="8" spans="1:16" ht="15" customHeight="1" x14ac:dyDescent="0.3">
      <c r="A8" s="4" t="s">
        <v>15</v>
      </c>
      <c r="B8" s="4">
        <v>2</v>
      </c>
      <c r="C8" s="21">
        <v>92800</v>
      </c>
      <c r="D8" s="4">
        <v>86.5</v>
      </c>
      <c r="E8" s="4">
        <v>3.9</v>
      </c>
      <c r="F8" s="53">
        <f t="shared" si="0"/>
        <v>7.0425741822873186E-2</v>
      </c>
    </row>
    <row r="9" spans="1:16" ht="15" customHeight="1" x14ac:dyDescent="0.3">
      <c r="A9" s="9" t="s">
        <v>16</v>
      </c>
      <c r="B9" s="9">
        <v>2</v>
      </c>
      <c r="C9" s="25">
        <v>145000</v>
      </c>
      <c r="D9" s="9">
        <v>93.5</v>
      </c>
      <c r="E9" s="9">
        <v>13.22</v>
      </c>
      <c r="F9" s="54">
        <f t="shared" si="0"/>
        <v>0.11004022159823935</v>
      </c>
    </row>
    <row r="10" spans="1:16" ht="15" customHeight="1" x14ac:dyDescent="0.3">
      <c r="A10" s="4" t="s">
        <v>17</v>
      </c>
      <c r="B10" s="4">
        <v>1</v>
      </c>
      <c r="C10" s="21">
        <v>10000</v>
      </c>
      <c r="D10" s="4">
        <v>72</v>
      </c>
      <c r="E10" s="4">
        <v>3.7</v>
      </c>
      <c r="F10" s="53">
        <f t="shared" si="0"/>
        <v>7.5889807998785761E-3</v>
      </c>
    </row>
    <row r="11" spans="1:16" ht="15" customHeight="1" x14ac:dyDescent="0.3">
      <c r="A11" s="12" t="s">
        <v>202</v>
      </c>
      <c r="B11" s="12">
        <f>SUM(B4:B10)</f>
        <v>20</v>
      </c>
      <c r="C11" s="55">
        <f>SUM(C4:C10)</f>
        <v>1317700</v>
      </c>
      <c r="D11" s="56">
        <f>AVERAGE(D4:D10)</f>
        <v>82.728571428571428</v>
      </c>
      <c r="E11" s="56">
        <f>AVERAGE(E4:E10)</f>
        <v>8.9814285714285713</v>
      </c>
      <c r="F11" s="57">
        <f>SUM(F4:F10)</f>
        <v>1</v>
      </c>
    </row>
    <row r="16" spans="1:16" x14ac:dyDescent="0.3">
      <c r="A16" s="52" t="s">
        <v>7</v>
      </c>
      <c r="B16" s="52" t="s">
        <v>198</v>
      </c>
    </row>
    <row r="17" spans="1:2" x14ac:dyDescent="0.3">
      <c r="A17" s="4" t="s">
        <v>11</v>
      </c>
      <c r="B17" s="21">
        <v>147800</v>
      </c>
    </row>
    <row r="18" spans="1:2" x14ac:dyDescent="0.3">
      <c r="A18" s="9" t="s">
        <v>12</v>
      </c>
      <c r="B18" s="25">
        <v>182500</v>
      </c>
    </row>
    <row r="19" spans="1:2" x14ac:dyDescent="0.3">
      <c r="A19" s="4" t="s">
        <v>13</v>
      </c>
      <c r="B19" s="21">
        <v>259600</v>
      </c>
    </row>
    <row r="20" spans="1:2" x14ac:dyDescent="0.3">
      <c r="A20" s="9" t="s">
        <v>14</v>
      </c>
      <c r="B20" s="25">
        <v>480000</v>
      </c>
    </row>
    <row r="21" spans="1:2" x14ac:dyDescent="0.3">
      <c r="A21" s="4" t="s">
        <v>15</v>
      </c>
      <c r="B21" s="21">
        <v>92800</v>
      </c>
    </row>
    <row r="22" spans="1:2" x14ac:dyDescent="0.3">
      <c r="A22" s="9" t="s">
        <v>16</v>
      </c>
      <c r="B22" s="25">
        <v>145000</v>
      </c>
    </row>
    <row r="23" spans="1:2" x14ac:dyDescent="0.3">
      <c r="A23" s="4" t="s">
        <v>17</v>
      </c>
      <c r="B23" s="21">
        <v>10000</v>
      </c>
    </row>
    <row r="24" spans="1:2" x14ac:dyDescent="0.3">
      <c r="A24" s="12" t="s">
        <v>202</v>
      </c>
      <c r="B24" s="55">
        <f>SUM(B17:B23)</f>
        <v>1317700</v>
      </c>
    </row>
  </sheetData>
  <mergeCells count="2">
    <mergeCell ref="A1:P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Özet Pano</vt:lpstr>
      <vt:lpstr>🗂️ Ana Veri</vt:lpstr>
      <vt:lpstr>✏️ Metin Düzenleme</vt:lpstr>
      <vt:lpstr>🔢 Rutin Hesaplamalar</vt:lpstr>
      <vt:lpstr>🔍 Vlookup</vt:lpstr>
      <vt:lpstr>📐 Formüller</vt:lpstr>
      <vt:lpstr>📋 Tablo Veri Düzenleme</vt:lpstr>
      <vt:lpstr>📈 Grafikler &amp;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Beyza ERDEM</cp:lastModifiedBy>
  <cp:revision>4</cp:revision>
  <dcterms:created xsi:type="dcterms:W3CDTF">2026-04-14T18:31:19Z</dcterms:created>
  <dcterms:modified xsi:type="dcterms:W3CDTF">2026-04-14T20:19:05Z</dcterms:modified>
  <dc:language>en-US</dc:language>
</cp:coreProperties>
</file>